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voice handling Fee" sheetId="1" r:id="rId4"/>
    <sheet state="hidden" name="RBF old" sheetId="2" r:id="rId5"/>
    <sheet state="hidden" name="Factor rate - old" sheetId="3" r:id="rId6"/>
    <sheet state="visible" name="Factor rate" sheetId="4" r:id="rId7"/>
    <sheet state="hidden" name="Factor Rate old" sheetId="5" r:id="rId8"/>
    <sheet state="hidden" name="Invoice Discounting - OLD" sheetId="6" r:id="rId9"/>
    <sheet state="hidden" name="Invoice Discounting" sheetId="7" r:id="rId10"/>
    <sheet state="visible" name="Invoice Discounting with Accrua" sheetId="8" r:id="rId11"/>
    <sheet state="hidden" name="Sheet13" sheetId="9" r:id="rId12"/>
    <sheet state="hidden" name="Payable Finance - old" sheetId="10" r:id="rId13"/>
    <sheet state="visible" name="Payable Finance" sheetId="11" r:id="rId14"/>
    <sheet state="hidden" name="BNPL- old" sheetId="12" r:id="rId15"/>
    <sheet state="visible" name="RBF" sheetId="13" r:id="rId16"/>
    <sheet state="visible" name="BNPL" sheetId="14" r:id="rId17"/>
    <sheet state="visible" name="LOC Receivables" sheetId="15" r:id="rId18"/>
    <sheet state="visible" name="Missing COA" sheetId="16" r:id="rId19"/>
    <sheet state="hidden" name="Payables" sheetId="17" r:id="rId20"/>
    <sheet state="hidden" name="Receivables" sheetId="18" r:id="rId21"/>
    <sheet state="hidden" name="LOC Payables" sheetId="19" r:id="rId22"/>
  </sheets>
  <definedNames>
    <definedName hidden="1" localSheetId="1" name="_xlnm._FilterDatabase">'RBF old'!$A$1:$AB$1014</definedName>
    <definedName hidden="1" localSheetId="12" name="_xlnm._FilterDatabase">RBF!$A$1:$AB$1023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93">
      <text>
        <t xml:space="preserve">Reversing Deferred interest income by the amount for the remaining interest days - initially booked for the whole interest amount
	-Sougata Das</t>
      </text>
    </comment>
    <comment authorId="0" ref="H92">
      <text>
        <t xml:space="preserve">Reversing the fee receivable booked during disbursal and not accrued
	-Sougata Das</t>
      </text>
    </comment>
    <comment authorId="0" ref="H91">
      <text>
        <t xml:space="preserve">Reversing the interest receivable booked during disbersal
	-Sougata Das</t>
      </text>
    </comment>
    <comment authorId="0" ref="H89">
      <text>
        <t xml:space="preserve">Total required/received from client to close the loan
Principal repayment 81505.02
Actual interest for less days 2384.32
Invoice handling fee 1000
	-Sougata Das</t>
      </text>
    </comment>
  </commentList>
</comments>
</file>

<file path=xl/sharedStrings.xml><?xml version="1.0" encoding="utf-8"?>
<sst xmlns="http://schemas.openxmlformats.org/spreadsheetml/2006/main" count="5827" uniqueCount="404">
  <si>
    <t>S. No</t>
  </si>
  <si>
    <t>EVENT_NAME</t>
  </si>
  <si>
    <t>NPA_STAGE</t>
  </si>
  <si>
    <t>GL_NAME</t>
  </si>
  <si>
    <t>GL_TYPE</t>
  </si>
  <si>
    <t>TRANS_TYPE</t>
  </si>
  <si>
    <t>CHARGE_NAME</t>
  </si>
  <si>
    <t>Amount</t>
  </si>
  <si>
    <t>Odoo COA Code</t>
  </si>
  <si>
    <t>DISBURSAL</t>
  </si>
  <si>
    <t>REGULAR</t>
  </si>
  <si>
    <t>Loan Receivable - Invoice Discounting - Receivable</t>
  </si>
  <si>
    <t>Current Asset</t>
  </si>
  <si>
    <t>DR</t>
  </si>
  <si>
    <t>Loan Amount</t>
  </si>
  <si>
    <t>Interest Receivable - Invoice Discounting - Receivable</t>
  </si>
  <si>
    <t>Interest Receivable</t>
  </si>
  <si>
    <t>Interest Income - Invoice Discounting - Receivable</t>
  </si>
  <si>
    <t>Revenue</t>
  </si>
  <si>
    <t>CR</t>
  </si>
  <si>
    <t>Interest Income</t>
  </si>
  <si>
    <t>Loan Payable - Invoice Discounting - Receivable</t>
  </si>
  <si>
    <t>Current Liability</t>
  </si>
  <si>
    <t>Disbursal Liability</t>
  </si>
  <si>
    <t>Xero code</t>
  </si>
  <si>
    <t>Code status</t>
  </si>
  <si>
    <t>Comments</t>
  </si>
  <si>
    <t xml:space="preserve">Invoice Handling Fee Receivable </t>
  </si>
  <si>
    <t>Fee Receivable</t>
  </si>
  <si>
    <t>new code</t>
  </si>
  <si>
    <t>The amount will be manually entered by Ops based on the number of invoices</t>
  </si>
  <si>
    <t>VAT receivable - Invoice Handling Fee</t>
  </si>
  <si>
    <t>VAT receivable</t>
  </si>
  <si>
    <t>5% of the Invoice handling fee</t>
  </si>
  <si>
    <t>Invoice Handling Fee Income</t>
  </si>
  <si>
    <t>Invoice Handling Fee</t>
  </si>
  <si>
    <t>Value Added Tax - VAT</t>
  </si>
  <si>
    <t>Service tax</t>
  </si>
  <si>
    <t>Existing code</t>
  </si>
  <si>
    <t>Disbursal</t>
  </si>
  <si>
    <t xml:space="preserve">   S. No</t>
  </si>
  <si>
    <t>Date</t>
  </si>
  <si>
    <t>JOURNAL ENTRY</t>
  </si>
  <si>
    <t>19-02-2025</t>
  </si>
  <si>
    <t>Loan Receivable - Working Capital - Revenue Finance</t>
  </si>
  <si>
    <t>Current Assets</t>
  </si>
  <si>
    <t>Loan Servicing / Processing Fee Income</t>
  </si>
  <si>
    <t>Arrangement fee</t>
  </si>
  <si>
    <t>Service Tax</t>
  </si>
  <si>
    <t>Loan Payable - Working Capital - Revenue Finance</t>
  </si>
  <si>
    <t xml:space="preserve"> </t>
  </si>
  <si>
    <t>Cash Margin received</t>
  </si>
  <si>
    <t>DEPOSIT</t>
  </si>
  <si>
    <t xml:space="preserve">Credible X Limited 3 PTY FIN PAR A/C  </t>
  </si>
  <si>
    <t xml:space="preserve">        LP Investor Loan - Margin Liability - 10% Margin</t>
  </si>
  <si>
    <t>Current Liabilty</t>
  </si>
  <si>
    <t>Transaction 2 of 2</t>
  </si>
  <si>
    <t>Xero Api trigger</t>
  </si>
  <si>
    <t>Spend Money from bank</t>
  </si>
  <si>
    <t>same as you have done before</t>
  </si>
  <si>
    <t>Credible X Limited LOAN DISB. A/C</t>
  </si>
  <si>
    <t>Bank</t>
  </si>
  <si>
    <t>Disbursal Amount</t>
  </si>
  <si>
    <t>Accrual</t>
  </si>
  <si>
    <t>Transaction 1 of 1</t>
  </si>
  <si>
    <t>Manual Journal - Month End</t>
  </si>
  <si>
    <t>ACCRUAL</t>
  </si>
  <si>
    <t>28-02-2025</t>
  </si>
  <si>
    <t>Interest Income EMI - Term Loan - WC - RBF</t>
  </si>
  <si>
    <t>Interest Accrual</t>
  </si>
  <si>
    <t>Interest Receivable - Working capital - Revenue Finance</t>
  </si>
  <si>
    <t xml:space="preserve">Deposit </t>
  </si>
  <si>
    <t>Entry ID</t>
  </si>
  <si>
    <t>Type</t>
  </si>
  <si>
    <t>Account Code</t>
  </si>
  <si>
    <t>Account Name</t>
  </si>
  <si>
    <t>Debit</t>
  </si>
  <si>
    <t>Credit</t>
  </si>
  <si>
    <t>ASSET</t>
  </si>
  <si>
    <t>Client Receivable Clearing Acc</t>
  </si>
  <si>
    <t>AED 149,213.49</t>
  </si>
  <si>
    <t>LIABILITY</t>
  </si>
  <si>
    <t>Working Capital Loan</t>
  </si>
  <si>
    <t>Refund</t>
  </si>
  <si>
    <t>AED 324,422.38</t>
  </si>
  <si>
    <t>EMI Closure</t>
  </si>
  <si>
    <t>Manual Journal - Receive Money - Once LMS Payment Received Done</t>
  </si>
  <si>
    <t>Case 1</t>
  </si>
  <si>
    <t>Processing Fee</t>
  </si>
  <si>
    <t>30-03-2025</t>
  </si>
  <si>
    <t>Clearing</t>
  </si>
  <si>
    <t xml:space="preserve">Case 2 </t>
  </si>
  <si>
    <t>Late Fee including LPI</t>
  </si>
  <si>
    <t>Case 3</t>
  </si>
  <si>
    <t>Full instalment amount received on due date</t>
  </si>
  <si>
    <t>Case 4</t>
  </si>
  <si>
    <t>partial instalment amount received on due date</t>
  </si>
  <si>
    <t>Case 5</t>
  </si>
  <si>
    <t>early closure of loan include early closure fee</t>
  </si>
  <si>
    <t>Case 6</t>
  </si>
  <si>
    <t>Waive off of any fee say early closure fee</t>
  </si>
  <si>
    <t xml:space="preserve">Case 7 </t>
  </si>
  <si>
    <t>write off</t>
  </si>
  <si>
    <t>31-03-2025</t>
  </si>
  <si>
    <t>Case 8</t>
  </si>
  <si>
    <t>Partial write off</t>
  </si>
  <si>
    <t>Case 9</t>
  </si>
  <si>
    <t>Month end accrual</t>
  </si>
  <si>
    <t xml:space="preserve">Case 10 </t>
  </si>
  <si>
    <t>Cash margin</t>
  </si>
  <si>
    <t>Accural Schedule</t>
  </si>
  <si>
    <t>Repayment Interest</t>
  </si>
  <si>
    <t>Index</t>
  </si>
  <si>
    <t>End of Month</t>
  </si>
  <si>
    <t>Opening Principal</t>
  </si>
  <si>
    <t>Closing Principal</t>
  </si>
  <si>
    <t>Interest Accrued</t>
  </si>
  <si>
    <t>Actual Interest Accrued</t>
  </si>
  <si>
    <t>30-04-2025</t>
  </si>
  <si>
    <t xml:space="preserve">        Client Receivable Clearing Acc</t>
  </si>
  <si>
    <t>Repayment Schedule</t>
  </si>
  <si>
    <t>Sr. No</t>
  </si>
  <si>
    <t>Due Date</t>
  </si>
  <si>
    <t>EMI Amount</t>
  </si>
  <si>
    <t>Principal</t>
  </si>
  <si>
    <t>Interest</t>
  </si>
  <si>
    <t>Net Principal O/S</t>
  </si>
  <si>
    <t>Status</t>
  </si>
  <si>
    <t>Excess Amount</t>
  </si>
  <si>
    <t>Late Fee</t>
  </si>
  <si>
    <t>paid</t>
  </si>
  <si>
    <t>-</t>
  </si>
  <si>
    <t>30-05-2025</t>
  </si>
  <si>
    <t>scheduled</t>
  </si>
  <si>
    <t>30-06-2025</t>
  </si>
  <si>
    <t xml:space="preserve">	Client Receivable Clearing Acc</t>
  </si>
  <si>
    <t>30-07-2025</t>
  </si>
  <si>
    <t>30-08-2025</t>
  </si>
  <si>
    <t>Partial Payment</t>
  </si>
  <si>
    <t>31-05-2025</t>
  </si>
  <si>
    <t>Early Closure</t>
  </si>
  <si>
    <t>31-07-2025</t>
  </si>
  <si>
    <t>31-08-2025</t>
  </si>
  <si>
    <t>Late payment</t>
  </si>
  <si>
    <r>
      <rPr>
        <rFont val="Arial"/>
        <b/>
      </rPr>
      <t xml:space="preserve">Note: Assuming Last payment was delayed so instead of final closure entry </t>
    </r>
    <r>
      <rPr>
        <rFont val="Arial"/>
        <b/>
        <color rgb="FF1155CC"/>
        <u/>
      </rPr>
      <t>S.No</t>
    </r>
    <r>
      <rPr>
        <rFont val="Arial"/>
        <b/>
      </rPr>
      <t xml:space="preserve"> 14 the below entry S No 14.1 will flow</t>
    </r>
  </si>
  <si>
    <t>30-09-2025</t>
  </si>
  <si>
    <t>Interest Receivable - Working Capital - Revenue Finance</t>
  </si>
  <si>
    <t xml:space="preserve">Partial EMI received </t>
  </si>
  <si>
    <t>Late payment for partial payment</t>
  </si>
  <si>
    <r>
      <rPr>
        <rFont val="Arial"/>
        <b/>
      </rPr>
      <t xml:space="preserve">Note: Assuming Last payment was delayed so instead of final closure entry </t>
    </r>
    <r>
      <rPr>
        <rFont val="Arial"/>
        <b/>
        <color rgb="FF1155CC"/>
        <u/>
      </rPr>
      <t>S.No</t>
    </r>
    <r>
      <rPr>
        <rFont val="Arial"/>
        <b/>
      </rPr>
      <t xml:space="preserve"> 14 this entry S No 14.3 will flow</t>
    </r>
  </si>
  <si>
    <t>LPI</t>
  </si>
  <si>
    <t>Early Settlement Fee Revenue</t>
  </si>
  <si>
    <t>Client Loan / Refund - Amount Payable - Excess Amount Payable</t>
  </si>
  <si>
    <t>Write off</t>
  </si>
  <si>
    <t>To be handled Manually by Finance</t>
  </si>
  <si>
    <t>Provision for Doubtful Debts - Bad Debts</t>
  </si>
  <si>
    <t>Expense</t>
  </si>
  <si>
    <t>Partial Write Off</t>
  </si>
  <si>
    <t>POS Revenue Based Financing</t>
  </si>
  <si>
    <t>Factor Rate</t>
  </si>
  <si>
    <t>BAIT AL AYELAH SUPERMARKET LLC</t>
  </si>
  <si>
    <t>EDI Amount</t>
  </si>
  <si>
    <t>Fee</t>
  </si>
  <si>
    <t>VAT</t>
  </si>
  <si>
    <t>Opening Balance</t>
  </si>
  <si>
    <t>Net Balance</t>
  </si>
  <si>
    <t>Bank entry</t>
  </si>
  <si>
    <t>Manual Journal</t>
  </si>
  <si>
    <t>13-04-2025</t>
  </si>
  <si>
    <t>Loan Receivables - POS Revenue Based Financing</t>
  </si>
  <si>
    <t>Loan Receivable</t>
  </si>
  <si>
    <t>14-04-2025</t>
  </si>
  <si>
    <t>Fee Receivables - POS Revenue Based Financing</t>
  </si>
  <si>
    <t>Processing fee Receivable</t>
  </si>
  <si>
    <t>15-04-2025</t>
  </si>
  <si>
    <t>VAT liability</t>
  </si>
  <si>
    <t>16-04-2025</t>
  </si>
  <si>
    <t xml:space="preserve">Deferred Processing fee revenue </t>
  </si>
  <si>
    <t>Deferred Processing fee income</t>
  </si>
  <si>
    <t>17-04-2025</t>
  </si>
  <si>
    <t>18-04-2025</t>
  </si>
  <si>
    <t>Loan Payable - POS Revenue Based Financing</t>
  </si>
  <si>
    <t>19-04-2025</t>
  </si>
  <si>
    <t>20-04-2025</t>
  </si>
  <si>
    <t>21-04-2025</t>
  </si>
  <si>
    <t>22-04-2025</t>
  </si>
  <si>
    <t>23-04-2025</t>
  </si>
  <si>
    <t>Single Entry</t>
  </si>
  <si>
    <t>24-04-2025</t>
  </si>
  <si>
    <t>25-04-2025</t>
  </si>
  <si>
    <t>26-04-2025</t>
  </si>
  <si>
    <t>27-04-2025</t>
  </si>
  <si>
    <t>Accrual 1 - 90</t>
  </si>
  <si>
    <t>29-04-2025</t>
  </si>
  <si>
    <t>Manual Journal - End of Day</t>
  </si>
  <si>
    <t>Processing Fee Income - POS Revenue Based Financing</t>
  </si>
  <si>
    <t>Fee income</t>
  </si>
  <si>
    <t>Repayment</t>
  </si>
  <si>
    <t>Factor Rate / POS - Clearing</t>
  </si>
  <si>
    <t>??</t>
  </si>
  <si>
    <t>REFUND</t>
  </si>
  <si>
    <t>13-05-2025</t>
  </si>
  <si>
    <t>14-05-2025</t>
  </si>
  <si>
    <t>15-05-2025</t>
  </si>
  <si>
    <t>16-05-2025</t>
  </si>
  <si>
    <t>17-05-2025</t>
  </si>
  <si>
    <t>Deposit 1 - 90</t>
  </si>
  <si>
    <t>18-05-2025</t>
  </si>
  <si>
    <t>19-05-2025</t>
  </si>
  <si>
    <t>20-05-2025</t>
  </si>
  <si>
    <t>Client Receivable Clearing Account</t>
  </si>
  <si>
    <t>21-05-2025</t>
  </si>
  <si>
    <t>22-05-2025</t>
  </si>
  <si>
    <t>23-05-2025</t>
  </si>
  <si>
    <t>24-05-2025</t>
  </si>
  <si>
    <t>Note</t>
  </si>
  <si>
    <t>Repayment schedule is on cell N3</t>
  </si>
  <si>
    <t>25-05-2025</t>
  </si>
  <si>
    <t>26-05-2025</t>
  </si>
  <si>
    <t xml:space="preserve">Late payment </t>
  </si>
  <si>
    <t>Assuming DPD is 35 so 5 day LPF is charged</t>
  </si>
  <si>
    <t>27-05-2025</t>
  </si>
  <si>
    <t>28-05-2025</t>
  </si>
  <si>
    <t>29-05-2025</t>
  </si>
  <si>
    <t>Late Payment to be charged at 0.16% per day after 30 DPD (DPD to be calculated beyond Maturity date)</t>
  </si>
  <si>
    <t>Early payment</t>
  </si>
  <si>
    <t>13-06-2025</t>
  </si>
  <si>
    <t>14-06-2025</t>
  </si>
  <si>
    <t xml:space="preserve">It would only be settled against next EMi </t>
  </si>
  <si>
    <t>15-06-2025</t>
  </si>
  <si>
    <t>16-06-2025</t>
  </si>
  <si>
    <t>Write Off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</si>
  <si>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</si>
  <si>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</si>
  <si>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</si>
  <si>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</si>
  <si>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</si>
  <si>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</si>
  <si>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</si>
  <si>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</si>
  <si>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</si>
  <si>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</si>
  <si>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</si>
  <si>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</si>
  <si>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</si>
  <si>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LP Investor Loan - Margin Liability - 10% Margin</t>
  </si>
  <si>
    <t>Requested Amount</t>
  </si>
  <si>
    <t>What we should get back</t>
  </si>
  <si>
    <t>Miss</t>
  </si>
  <si>
    <t>Factor Fee</t>
  </si>
  <si>
    <t>Disbursed Amount</t>
  </si>
  <si>
    <t>Daily Fee</t>
  </si>
  <si>
    <t>Factor Fee/90</t>
  </si>
  <si>
    <t>Daily VAT</t>
  </si>
  <si>
    <t>VAT/90</t>
  </si>
  <si>
    <t>EDI</t>
  </si>
  <si>
    <t>Requested Amount/90</t>
  </si>
  <si>
    <t>Daily Principal</t>
  </si>
  <si>
    <t>EDI-Daily Fee-Daily VAT</t>
  </si>
  <si>
    <t>Misisng COA in Odoo</t>
  </si>
  <si>
    <t>recon not turned on</t>
  </si>
  <si>
    <t>Partial Paid</t>
  </si>
  <si>
    <t>Penalty</t>
  </si>
  <si>
    <t>Processing fee income</t>
  </si>
  <si>
    <t>28-04-2025</t>
  </si>
  <si>
    <t xml:space="preserve">Note </t>
  </si>
  <si>
    <t>As there are no involvement of interest so no Late payment interest charges</t>
  </si>
  <si>
    <t>Partial Writeoff</t>
  </si>
  <si>
    <t xml:space="preserve">Invoice Discounting </t>
  </si>
  <si>
    <t>Case Disbursal</t>
  </si>
  <si>
    <t>Due date</t>
  </si>
  <si>
    <t>Case No.</t>
  </si>
  <si>
    <t>Invoice date</t>
  </si>
  <si>
    <t>Invoice No.</t>
  </si>
  <si>
    <t>Case Value</t>
  </si>
  <si>
    <t>Tenure Days</t>
  </si>
  <si>
    <t>Annual Interest</t>
  </si>
  <si>
    <t>Disbursal Value</t>
  </si>
  <si>
    <t>Receivable Value</t>
  </si>
  <si>
    <t>TWSS-25-02-00166</t>
  </si>
  <si>
    <t>Over due Interest charged case</t>
  </si>
  <si>
    <t>Early repayment</t>
  </si>
  <si>
    <t>Early Payment Value</t>
  </si>
  <si>
    <t>Rec Date</t>
  </si>
  <si>
    <t>Total days with client</t>
  </si>
  <si>
    <t>Interest Over due/LPI</t>
  </si>
  <si>
    <t>Value refund</t>
  </si>
  <si>
    <t>Interest Earned</t>
  </si>
  <si>
    <t>Total Value Refund</t>
  </si>
  <si>
    <t>Y</t>
  </si>
  <si>
    <t>Early Payment</t>
  </si>
  <si>
    <t>Interest Refund</t>
  </si>
  <si>
    <t>Closure</t>
  </si>
  <si>
    <t>add IH fee in Client receivable clearing account</t>
  </si>
  <si>
    <t xml:space="preserve">Credit IH </t>
  </si>
  <si>
    <t>Over Due Interest</t>
  </si>
  <si>
    <t>Example</t>
  </si>
  <si>
    <t>Deposit</t>
  </si>
  <si>
    <t>Over Due Interest Charge Receivable</t>
  </si>
  <si>
    <t>Loan Receivables - Invoice Discounting</t>
  </si>
  <si>
    <t>Note: Sample has been shared on K28</t>
  </si>
  <si>
    <t xml:space="preserve">Early Closure and Refund </t>
  </si>
  <si>
    <t>Client Receivable Clearing Acc or Bank A/c</t>
  </si>
  <si>
    <t>Loan Receivable account  - Invoice Discounting</t>
  </si>
  <si>
    <t>Client Refund - Early Invoice Discounting Settlement - Interest Refund</t>
  </si>
  <si>
    <t>Bad Debt</t>
  </si>
  <si>
    <t>Complete amount Bad Debt</t>
  </si>
  <si>
    <t>Partial Bad Debt</t>
  </si>
  <si>
    <t>Partial amount Bad Debt</t>
  </si>
  <si>
    <t>Days</t>
  </si>
  <si>
    <t>Invoice Discounting - Clearing</t>
  </si>
  <si>
    <t>Accrual 1</t>
  </si>
  <si>
    <t>Accrual 2</t>
  </si>
  <si>
    <t>Accrual 3</t>
  </si>
  <si>
    <t>Accrual 4</t>
  </si>
  <si>
    <t>No need for recording LOC Activation Fee</t>
  </si>
  <si>
    <t>PreDisbursal Value</t>
  </si>
  <si>
    <t>Fees</t>
  </si>
  <si>
    <t xml:space="preserve">Deferred Interest Income - Invoice Discounting </t>
  </si>
  <si>
    <t>Liability</t>
  </si>
  <si>
    <t xml:space="preserve">Loan Payable - Invoice Discounting </t>
  </si>
  <si>
    <t>Handling Fee - Receivable</t>
  </si>
  <si>
    <t>Invoice Handling and other fee</t>
  </si>
  <si>
    <t xml:space="preserve">Interest Income - Invoice Discounting </t>
  </si>
  <si>
    <t>CLOSURE</t>
  </si>
  <si>
    <t>Interesr Receivable</t>
  </si>
  <si>
    <t>Over Due Interest - LPI - Invoice Discounting</t>
  </si>
  <si>
    <t>Earned Interest</t>
  </si>
  <si>
    <t>Disbursed</t>
  </si>
  <si>
    <t>Invoice Value</t>
  </si>
  <si>
    <t>Approved Value</t>
  </si>
  <si>
    <t>Reversal Entry</t>
  </si>
  <si>
    <t>DB</t>
  </si>
  <si>
    <t>Payable Finance</t>
  </si>
  <si>
    <t>S.L.S Production</t>
  </si>
  <si>
    <t>Vendor Name</t>
  </si>
  <si>
    <t>Loan Receivable - Payable Discounting / Financing</t>
  </si>
  <si>
    <t>SI300199 &amp; SI300194</t>
  </si>
  <si>
    <t>Loan Payable - Payable Discounting / Financing</t>
  </si>
  <si>
    <t>Workings for Interest calculation</t>
  </si>
  <si>
    <t xml:space="preserve">	Loan Payable - Payable Discounting / Financing</t>
  </si>
  <si>
    <t>Interest refund</t>
  </si>
  <si>
    <t>total refund</t>
  </si>
  <si>
    <t>Yes</t>
  </si>
  <si>
    <t>No</t>
  </si>
  <si>
    <t>Interest Income - Payable Financing / Discounting</t>
  </si>
  <si>
    <t>Interest Receivable - Payable Discounting / Financing</t>
  </si>
  <si>
    <t>Early Closure and Excess value</t>
  </si>
  <si>
    <t>Loan Receivables - Payable Financing / Discounting</t>
  </si>
  <si>
    <t>Interest Amount</t>
  </si>
  <si>
    <t xml:space="preserve">	Client Refund - Early Invoice Discounting Settlement - Interest Refund</t>
  </si>
  <si>
    <t>For Early payment</t>
  </si>
  <si>
    <t>Overdue Interest</t>
  </si>
  <si>
    <t>Late closure</t>
  </si>
  <si>
    <t xml:space="preserve">	Over Due Interest Charge Receivable</t>
  </si>
  <si>
    <t>For Late Payment</t>
  </si>
  <si>
    <t>Cr</t>
  </si>
  <si>
    <t>Missing</t>
  </si>
  <si>
    <t>Cash Margin</t>
  </si>
  <si>
    <t>LOC Activiation</t>
  </si>
  <si>
    <t>Need to update Early Closure entries as there will be no refund.</t>
  </si>
  <si>
    <t>Need details for normal flow</t>
  </si>
  <si>
    <t>CASH MARGIN RECEIVED</t>
  </si>
  <si>
    <t>CASH MARGIN RETURNED</t>
  </si>
  <si>
    <t>LOC - Activation FEE</t>
  </si>
  <si>
    <t>Payable Financing - Clearing</t>
  </si>
  <si>
    <t>Normal Closure No Excess Value</t>
  </si>
  <si>
    <t>Over Due Interest - LPI - Payable Financing</t>
  </si>
  <si>
    <t xml:space="preserve">LPI </t>
  </si>
  <si>
    <t>BN</t>
  </si>
  <si>
    <t>BNPL</t>
  </si>
  <si>
    <t>Magic City</t>
  </si>
  <si>
    <t>Transaction 1 of 2</t>
  </si>
  <si>
    <t>Vendor</t>
  </si>
  <si>
    <t>Tenure months</t>
  </si>
  <si>
    <t>Down Payment</t>
  </si>
  <si>
    <t>Monthly interest</t>
  </si>
  <si>
    <t>First DD</t>
  </si>
  <si>
    <t>NOTE:</t>
  </si>
  <si>
    <t xml:space="preserve">Transaction </t>
  </si>
  <si>
    <t>Closure from 2nd till 6th</t>
  </si>
  <si>
    <t>Last EMI closure one month before</t>
  </si>
  <si>
    <t>Interest not received have been reversed</t>
  </si>
  <si>
    <t>EMI closed a month later</t>
  </si>
  <si>
    <t>This Odoo code will be updated to 210003</t>
  </si>
  <si>
    <t>Add to chart of account in LMS</t>
  </si>
  <si>
    <t>Case 0</t>
  </si>
  <si>
    <t>Deposit &amp; Refund</t>
  </si>
  <si>
    <t>done</t>
  </si>
  <si>
    <t>pending</t>
  </si>
  <si>
    <t>on fiter team</t>
  </si>
  <si>
    <t>on haider</t>
  </si>
  <si>
    <t>to check with finance</t>
  </si>
  <si>
    <t>n/a</t>
  </si>
  <si>
    <r>
      <rPr>
        <rFont val="Arial"/>
        <b/>
      </rPr>
      <t xml:space="preserve">Note: Assuming Last payment was delayed so instead of final closure entry </t>
    </r>
    <r>
      <rPr>
        <rFont val="Arial"/>
        <b/>
        <color rgb="FF1155CC"/>
        <u/>
      </rPr>
      <t>S.No</t>
    </r>
    <r>
      <rPr>
        <rFont val="Arial"/>
        <b/>
      </rPr>
      <t xml:space="preserve"> 14 the below entry S No 14.1 will flow</t>
    </r>
  </si>
  <si>
    <t>Over Due Interest - LPI - RBF</t>
  </si>
  <si>
    <r>
      <rPr>
        <rFont val="Arial"/>
        <b/>
      </rPr>
      <t xml:space="preserve">Note: Assuming Last payment was delayed so instead of final closure entry </t>
    </r>
    <r>
      <rPr>
        <rFont val="Arial"/>
        <b/>
        <color rgb="FF1155CC"/>
        <u/>
      </rPr>
      <t>S.No</t>
    </r>
    <r>
      <rPr>
        <rFont val="Arial"/>
        <b/>
      </rPr>
      <t xml:space="preserve"> 14 this entry S No 14.3 will flow</t>
    </r>
  </si>
  <si>
    <t>Add to chart of accounts</t>
  </si>
  <si>
    <t>Early Settlement Fee - Receivable</t>
  </si>
  <si>
    <t>FACTOR RATE</t>
  </si>
  <si>
    <t>GL NAME</t>
  </si>
  <si>
    <t>COA</t>
  </si>
  <si>
    <t>Re</t>
  </si>
  <si>
    <t>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</si>
</sst>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.00_-;\-* #,##0.00_-;_-* &quot;-&quot;??_-;_-@"/>
    <numFmt numFmtId="165" formatCode="mmm d, yyyy"/>
    <numFmt numFmtId="166" formatCode="mmmm d, yyyy"/>
    <numFmt numFmtId="167" formatCode="mm-dd-yyyy"/>
    <numFmt numFmtId="168" formatCode="m/d/yyyy"/>
    <numFmt numFmtId="169" formatCode="mm/dd"/>
    <numFmt numFmtId="170" formatCode="m-d-yyyy"/>
    <numFmt numFmtId="171" formatCode="d-mmmm-yyyy"/>
  </numFmts>
  <fonts count="2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8.0"/>
      <color theme="1"/>
      <name val="Open Sans"/>
    </font>
    <font>
      <sz val="11.0"/>
      <color theme="1"/>
      <name val="Calibri"/>
    </font>
    <font>
      <b/>
      <sz val="11.0"/>
      <color theme="1"/>
      <name val="Avenir"/>
    </font>
    <font>
      <i/>
      <sz val="11.0"/>
      <color rgb="FFFF0000"/>
      <name val="Calibri"/>
    </font>
    <font>
      <color rgb="FFFF0000"/>
      <name val="Arial"/>
    </font>
    <font>
      <sz val="9.0"/>
      <color rgb="FF000000"/>
      <name val="Roboto"/>
    </font>
    <font>
      <sz val="11.0"/>
      <color rgb="FF000000"/>
      <name val="Roboto"/>
    </font>
    <font>
      <b/>
      <sz val="11.0"/>
      <color theme="1"/>
      <name val="Calibri"/>
    </font>
    <font>
      <sz val="11.0"/>
      <color rgb="FFFF0000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u/>
      <color rgb="FF0000FF"/>
      <name val="Arial"/>
    </font>
    <font>
      <b/>
      <sz val="14.0"/>
      <color theme="1"/>
      <name val="Calibri"/>
    </font>
    <font>
      <b/>
      <sz val="8.0"/>
      <color theme="1"/>
      <name val="MS Sans Serif"/>
    </font>
    <font>
      <b/>
      <sz val="11.0"/>
      <color theme="1"/>
      <name val="Avenir Next LT Pro"/>
    </font>
    <font>
      <b/>
      <sz val="11.0"/>
      <color theme="1"/>
      <name val="Arial"/>
    </font>
    <font>
      <b/>
      <sz val="8.0"/>
      <color theme="1"/>
      <name val="Arial"/>
    </font>
    <font>
      <b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  <fill>
      <patternFill patternType="solid">
        <fgColor rgb="FFAEAAAA"/>
        <bgColor rgb="FFAEAAAA"/>
      </patternFill>
    </fill>
    <fill>
      <patternFill patternType="solid">
        <fgColor rgb="FFF7CAAC"/>
        <bgColor rgb="FFF7CAAC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8CBAD"/>
        <bgColor rgb="FFF8CBAD"/>
      </patternFill>
    </fill>
    <fill>
      <patternFill patternType="solid">
        <fgColor rgb="FFD9EAD3"/>
        <bgColor rgb="FFD9EAD3"/>
      </patternFill>
    </fill>
    <fill>
      <patternFill patternType="solid">
        <fgColor theme="5"/>
        <bgColor theme="5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</fills>
  <borders count="1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3" fontId="1" numFmtId="4" xfId="0" applyFont="1" applyNumberFormat="1"/>
    <xf borderId="0" fillId="2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1" numFmtId="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4" fontId="4" numFmtId="0" xfId="0" applyAlignment="1" applyBorder="1" applyFill="1" applyFont="1">
      <alignment horizontal="center" vertical="bottom"/>
    </xf>
    <xf borderId="1" fillId="4" fontId="4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1" fillId="5" fontId="5" numFmtId="0" xfId="0" applyAlignment="1" applyBorder="1" applyFill="1" applyFont="1">
      <alignment horizontal="right" vertical="bottom"/>
    </xf>
    <xf borderId="1" fillId="5" fontId="5" numFmtId="0" xfId="0" applyAlignment="1" applyBorder="1" applyFont="1">
      <alignment horizontal="center" vertical="bottom"/>
    </xf>
    <xf borderId="1" fillId="5" fontId="5" numFmtId="0" xfId="0" applyAlignment="1" applyBorder="1" applyFont="1">
      <alignment horizontal="center" vertical="bottom"/>
    </xf>
    <xf borderId="1" fillId="5" fontId="5" numFmtId="0" xfId="0" applyAlignment="1" applyBorder="1" applyFont="1">
      <alignment horizontal="center" readingOrder="0" vertical="bottom"/>
    </xf>
    <xf borderId="1" fillId="5" fontId="5" numFmtId="164" xfId="0" applyAlignment="1" applyBorder="1" applyFont="1" applyNumberFormat="1">
      <alignment horizontal="center" vertical="bottom"/>
    </xf>
    <xf borderId="1" fillId="6" fontId="5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1" fillId="4" fontId="2" numFmtId="0" xfId="0" applyAlignment="1" applyBorder="1" applyFont="1">
      <alignment vertical="bottom"/>
    </xf>
    <xf borderId="1" fillId="7" fontId="5" numFmtId="0" xfId="0" applyAlignment="1" applyBorder="1" applyFill="1" applyFont="1">
      <alignment horizontal="right" vertical="bottom"/>
    </xf>
    <xf borderId="1" fillId="7" fontId="5" numFmtId="0" xfId="0" applyAlignment="1" applyBorder="1" applyFont="1">
      <alignment horizontal="center" vertical="bottom"/>
    </xf>
    <xf borderId="0" fillId="7" fontId="2" numFmtId="0" xfId="0" applyAlignment="1" applyFont="1">
      <alignment vertical="bottom"/>
    </xf>
    <xf borderId="1" fillId="7" fontId="2" numFmtId="0" xfId="0" applyAlignment="1" applyBorder="1" applyFont="1">
      <alignment vertical="bottom"/>
    </xf>
    <xf borderId="1" fillId="7" fontId="5" numFmtId="164" xfId="0" applyAlignment="1" applyBorder="1" applyFont="1" applyNumberFormat="1">
      <alignment horizontal="center" vertical="bottom"/>
    </xf>
    <xf borderId="1" fillId="7" fontId="5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8" fontId="2" numFmtId="0" xfId="0" applyAlignment="1" applyFill="1" applyFont="1">
      <alignment vertical="bottom"/>
    </xf>
    <xf borderId="1" fillId="8" fontId="5" numFmtId="0" xfId="0" applyAlignment="1" applyBorder="1" applyFont="1">
      <alignment vertical="bottom"/>
    </xf>
    <xf borderId="1" fillId="8" fontId="6" numFmtId="0" xfId="0" applyAlignment="1" applyBorder="1" applyFont="1">
      <alignment vertical="bottom"/>
    </xf>
    <xf borderId="1" fillId="8" fontId="2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0" fontId="8" numFmtId="0" xfId="0" applyAlignment="1" applyFont="1">
      <alignment readingOrder="0" vertical="bottom"/>
    </xf>
    <xf borderId="2" fillId="0" fontId="9" numFmtId="0" xfId="0" applyAlignment="1" applyBorder="1" applyFont="1">
      <alignment horizontal="center" readingOrder="0"/>
    </xf>
    <xf borderId="2" fillId="0" fontId="10" numFmtId="0" xfId="0" applyAlignment="1" applyBorder="1" applyFont="1">
      <alignment readingOrder="0"/>
    </xf>
    <xf borderId="2" fillId="0" fontId="10" numFmtId="0" xfId="0" applyBorder="1" applyFont="1"/>
    <xf borderId="2" fillId="9" fontId="10" numFmtId="0" xfId="0" applyAlignment="1" applyBorder="1" applyFill="1" applyFont="1">
      <alignment readingOrder="0"/>
    </xf>
    <xf borderId="2" fillId="9" fontId="10" numFmtId="0" xfId="0" applyBorder="1" applyFont="1"/>
    <xf borderId="0" fillId="0" fontId="11" numFmtId="0" xfId="0" applyAlignment="1" applyFont="1">
      <alignment vertical="bottom"/>
    </xf>
    <xf borderId="0" fillId="10" fontId="5" numFmtId="0" xfId="0" applyAlignment="1" applyFill="1" applyFont="1">
      <alignment vertical="bottom"/>
    </xf>
    <xf borderId="1" fillId="5" fontId="12" numFmtId="0" xfId="0" applyAlignment="1" applyBorder="1" applyFont="1">
      <alignment horizontal="center" readingOrder="0" vertical="bottom"/>
    </xf>
    <xf borderId="1" fillId="5" fontId="12" numFmtId="0" xfId="0" applyAlignment="1" applyBorder="1" applyFont="1">
      <alignment horizontal="center" vertical="bottom"/>
    </xf>
    <xf borderId="1" fillId="5" fontId="12" numFmtId="164" xfId="0" applyAlignment="1" applyBorder="1" applyFont="1" applyNumberFormat="1">
      <alignment horizontal="center" vertical="bottom"/>
    </xf>
    <xf borderId="0" fillId="10" fontId="5" numFmtId="0" xfId="0" applyAlignment="1" applyFont="1">
      <alignment vertical="bottom"/>
    </xf>
    <xf borderId="0" fillId="10" fontId="2" numFmtId="0" xfId="0" applyAlignment="1" applyFont="1">
      <alignment vertical="bottom"/>
    </xf>
    <xf borderId="0" fillId="10" fontId="2" numFmtId="0" xfId="0" applyAlignment="1" applyFont="1">
      <alignment vertical="bottom"/>
    </xf>
    <xf borderId="0" fillId="7" fontId="2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166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1" fillId="8" fontId="5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2" fillId="0" fontId="13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center" vertical="bottom"/>
    </xf>
    <xf borderId="0" fillId="0" fontId="15" numFmtId="0" xfId="0" applyAlignment="1" applyFont="1">
      <alignment readingOrder="0" vertical="bottom"/>
    </xf>
    <xf borderId="1" fillId="5" fontId="5" numFmtId="0" xfId="0" applyAlignment="1" applyBorder="1" applyFont="1">
      <alignment horizontal="right" readingOrder="0" vertical="bottom"/>
    </xf>
    <xf borderId="0" fillId="5" fontId="5" numFmtId="0" xfId="0" applyAlignment="1" applyFont="1">
      <alignment horizontal="center" readingOrder="0" vertical="bottom"/>
    </xf>
    <xf borderId="0" fillId="5" fontId="5" numFmtId="0" xfId="0" applyAlignment="1" applyFont="1">
      <alignment horizontal="center" vertical="bottom"/>
    </xf>
    <xf borderId="0" fillId="5" fontId="2" numFmtId="0" xfId="0" applyAlignment="1" applyFont="1">
      <alignment vertical="bottom"/>
    </xf>
    <xf borderId="0" fillId="5" fontId="5" numFmtId="164" xfId="0" applyAlignment="1" applyFont="1" applyNumberFormat="1">
      <alignment horizontal="center" vertical="bottom"/>
    </xf>
    <xf borderId="3" fillId="4" fontId="4" numFmtId="0" xfId="0" applyAlignment="1" applyBorder="1" applyFont="1">
      <alignment horizontal="center" vertical="bottom"/>
    </xf>
    <xf borderId="4" fillId="4" fontId="4" numFmtId="0" xfId="0" applyAlignment="1" applyBorder="1" applyFont="1">
      <alignment horizontal="center" vertical="bottom"/>
    </xf>
    <xf borderId="4" fillId="4" fontId="2" numFmtId="0" xfId="0" applyAlignment="1" applyBorder="1" applyFont="1">
      <alignment vertical="bottom"/>
    </xf>
    <xf borderId="5" fillId="5" fontId="5" numFmtId="0" xfId="0" applyAlignment="1" applyBorder="1" applyFont="1">
      <alignment horizontal="right" readingOrder="0"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5" fillId="4" fontId="4" numFmtId="0" xfId="0" applyAlignment="1" applyBorder="1" applyFont="1">
      <alignment horizontal="center" vertical="bottom"/>
    </xf>
    <xf borderId="8" fillId="5" fontId="5" numFmtId="0" xfId="0" applyAlignment="1" applyBorder="1" applyFont="1">
      <alignment horizontal="center" vertical="bottom"/>
    </xf>
    <xf borderId="9" fillId="0" fontId="2" numFmtId="0" xfId="0" applyAlignment="1" applyBorder="1" applyFont="1">
      <alignment vertical="bottom"/>
    </xf>
    <xf borderId="8" fillId="5" fontId="5" numFmtId="0" xfId="0" applyAlignment="1" applyBorder="1" applyFont="1">
      <alignment horizontal="center" readingOrder="0" vertical="bottom"/>
    </xf>
    <xf borderId="8" fillId="5" fontId="5" numFmtId="164" xfId="0" applyAlignment="1" applyBorder="1" applyFont="1" applyNumberFormat="1">
      <alignment horizontal="center" vertical="bottom"/>
    </xf>
    <xf borderId="1" fillId="7" fontId="5" numFmtId="0" xfId="0" applyAlignment="1" applyBorder="1" applyFont="1">
      <alignment horizontal="right" readingOrder="0" vertical="bottom"/>
    </xf>
    <xf borderId="0" fillId="7" fontId="2" numFmtId="167" xfId="0" applyAlignment="1" applyFont="1" applyNumberFormat="1">
      <alignment readingOrder="0" vertical="bottom"/>
    </xf>
    <xf borderId="0" fillId="6" fontId="5" numFmtId="0" xfId="0" applyAlignment="1" applyFont="1">
      <alignment horizontal="center" vertical="bottom"/>
    </xf>
    <xf borderId="0" fillId="11" fontId="2" numFmtId="0" xfId="0" applyAlignment="1" applyFill="1" applyFont="1">
      <alignment vertical="bottom"/>
    </xf>
    <xf borderId="0" fillId="11" fontId="2" numFmtId="164" xfId="0" applyAlignment="1" applyFont="1" applyNumberFormat="1">
      <alignment vertical="bottom"/>
    </xf>
    <xf borderId="0" fillId="0" fontId="16" numFmtId="0" xfId="0" applyAlignment="1" applyFont="1">
      <alignment vertical="bottom"/>
    </xf>
    <xf borderId="0" fillId="4" fontId="17" numFmtId="0" xfId="0" applyAlignment="1" applyFont="1">
      <alignment horizontal="center" vertical="bottom"/>
    </xf>
    <xf borderId="0" fillId="12" fontId="5" numFmtId="4" xfId="0" applyAlignment="1" applyFill="1" applyFont="1" applyNumberFormat="1">
      <alignment horizontal="center" readingOrder="0" vertical="bottom"/>
    </xf>
    <xf borderId="0" fillId="0" fontId="11" numFmtId="0" xfId="0" applyAlignment="1" applyFont="1">
      <alignment horizontal="center" vertical="bottom"/>
    </xf>
    <xf borderId="0" fillId="0" fontId="13" numFmtId="167" xfId="0" applyAlignment="1" applyFont="1" applyNumberFormat="1">
      <alignment vertical="bottom"/>
    </xf>
    <xf borderId="0" fillId="0" fontId="13" numFmtId="0" xfId="0" applyAlignment="1" applyFont="1">
      <alignment readingOrder="0" vertical="bottom"/>
    </xf>
    <xf borderId="0" fillId="0" fontId="13" numFmtId="167" xfId="0" applyAlignment="1" applyFont="1" applyNumberFormat="1">
      <alignment horizontal="right" readingOrder="0" vertical="bottom"/>
    </xf>
    <xf borderId="0" fillId="0" fontId="13" numFmtId="4" xfId="0" applyAlignment="1" applyFont="1" applyNumberFormat="1">
      <alignment horizontal="right" readingOrder="0" vertical="bottom"/>
    </xf>
    <xf borderId="0" fillId="0" fontId="2" numFmtId="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/>
    </xf>
    <xf borderId="0" fillId="8" fontId="5" numFmtId="0" xfId="0" applyAlignment="1" applyFont="1">
      <alignment vertical="bottom"/>
    </xf>
    <xf borderId="0" fillId="8" fontId="18" numFmtId="0" xfId="0" applyAlignment="1" applyFont="1">
      <alignment vertical="bottom"/>
    </xf>
    <xf borderId="0" fillId="0" fontId="13" numFmtId="167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4" fontId="17" numFmtId="4" xfId="0" applyAlignment="1" applyFont="1" applyNumberFormat="1">
      <alignment horizontal="center" vertical="bottom"/>
    </xf>
    <xf borderId="0" fillId="12" fontId="5" numFmtId="0" xfId="0" applyAlignment="1" applyFont="1">
      <alignment horizontal="center" vertical="bottom"/>
    </xf>
    <xf borderId="0" fillId="12" fontId="5" numFmtId="0" xfId="0" applyAlignment="1" applyFont="1">
      <alignment vertical="bottom"/>
    </xf>
    <xf borderId="0" fillId="12" fontId="5" numFmtId="4" xfId="0" applyAlignment="1" applyFont="1" applyNumberFormat="1">
      <alignment horizontal="center" vertical="bottom"/>
    </xf>
    <xf borderId="0" fillId="12" fontId="5" numFmtId="0" xfId="0" applyAlignment="1" applyFont="1">
      <alignment horizontal="center" readingOrder="0" vertical="bottom"/>
    </xf>
    <xf borderId="0" fillId="12" fontId="2" numFmtId="0" xfId="0" applyAlignment="1" applyFont="1">
      <alignment vertical="bottom"/>
    </xf>
    <xf borderId="0" fillId="12" fontId="2" numFmtId="4" xfId="0" applyAlignment="1" applyFont="1" applyNumberFormat="1">
      <alignment vertical="bottom"/>
    </xf>
    <xf borderId="0" fillId="0" fontId="11" numFmtId="0" xfId="0" applyAlignment="1" applyFont="1">
      <alignment readingOrder="0" vertical="bottom"/>
    </xf>
    <xf borderId="1" fillId="5" fontId="5" numFmtId="164" xfId="0" applyAlignment="1" applyBorder="1" applyFont="1" applyNumberFormat="1">
      <alignment horizontal="center" readingOrder="0" vertical="bottom"/>
    </xf>
    <xf borderId="1" fillId="5" fontId="5" numFmtId="0" xfId="0" applyAlignment="1" applyBorder="1" applyFont="1">
      <alignment vertical="bottom"/>
    </xf>
    <xf borderId="1" fillId="4" fontId="4" numFmtId="164" xfId="0" applyAlignment="1" applyBorder="1" applyFont="1" applyNumberFormat="1">
      <alignment horizontal="center" vertical="bottom"/>
    </xf>
    <xf borderId="0" fillId="0" fontId="2" numFmtId="4" xfId="0" applyAlignment="1" applyFont="1" applyNumberFormat="1">
      <alignment vertical="bottom"/>
    </xf>
    <xf borderId="0" fillId="13" fontId="5" numFmtId="0" xfId="0" applyAlignment="1" applyFill="1" applyFont="1">
      <alignment horizontal="center" vertical="bottom"/>
    </xf>
    <xf borderId="0" fillId="0" fontId="2" numFmtId="0" xfId="0" applyAlignment="1" applyFont="1">
      <alignment horizontal="right" readingOrder="0" vertical="bottom"/>
    </xf>
    <xf borderId="0" fillId="13" fontId="5" numFmtId="0" xfId="0" applyAlignment="1" applyFont="1">
      <alignment horizontal="center" readingOrder="0" vertical="bottom"/>
    </xf>
    <xf borderId="0" fillId="14" fontId="2" numFmtId="0" xfId="0" applyAlignment="1" applyFill="1" applyFont="1">
      <alignment readingOrder="0" vertical="bottom"/>
    </xf>
    <xf borderId="1" fillId="13" fontId="5" numFmtId="0" xfId="0" applyAlignment="1" applyBorder="1" applyFont="1">
      <alignment horizontal="center" readingOrder="0" vertical="bottom"/>
    </xf>
    <xf borderId="1" fillId="14" fontId="5" numFmtId="0" xfId="0" applyAlignment="1" applyBorder="1" applyFont="1">
      <alignment horizontal="center" readingOrder="0" vertical="bottom"/>
    </xf>
    <xf borderId="0" fillId="14" fontId="5" numFmtId="0" xfId="0" applyAlignment="1" applyFont="1">
      <alignment horizontal="center" vertical="bottom"/>
    </xf>
    <xf borderId="0" fillId="11" fontId="16" numFmtId="0" xfId="0" applyAlignment="1" applyFont="1">
      <alignment vertical="bottom"/>
    </xf>
    <xf borderId="0" fillId="0" fontId="2" numFmtId="167" xfId="0" applyAlignment="1" applyFont="1" applyNumberFormat="1">
      <alignment vertical="bottom"/>
    </xf>
    <xf borderId="2" fillId="0" fontId="14" numFmtId="0" xfId="0" applyAlignment="1" applyBorder="1" applyFont="1">
      <alignment horizontal="center" vertical="bottom"/>
    </xf>
    <xf borderId="2" fillId="0" fontId="14" numFmtId="167" xfId="0" applyAlignment="1" applyBorder="1" applyFont="1" applyNumberFormat="1">
      <alignment horizontal="center" vertical="bottom"/>
    </xf>
    <xf borderId="2" fillId="0" fontId="14" numFmtId="14" xfId="0" applyAlignment="1" applyBorder="1" applyFont="1" applyNumberFormat="1">
      <alignment horizontal="center" vertical="bottom"/>
    </xf>
    <xf borderId="2" fillId="0" fontId="13" numFmtId="14" xfId="0" applyAlignment="1" applyBorder="1" applyFont="1" applyNumberFormat="1">
      <alignment horizontal="center" vertical="bottom"/>
    </xf>
    <xf borderId="2" fillId="0" fontId="5" numFmtId="167" xfId="0" applyAlignment="1" applyBorder="1" applyFont="1" applyNumberFormat="1">
      <alignment horizontal="center" vertical="bottom"/>
    </xf>
    <xf borderId="2" fillId="0" fontId="13" numFmtId="168" xfId="0" applyAlignment="1" applyBorder="1" applyFont="1" applyNumberFormat="1">
      <alignment horizontal="right" vertical="bottom"/>
    </xf>
    <xf borderId="2" fillId="0" fontId="13" numFmtId="0" xfId="0" applyAlignment="1" applyBorder="1" applyFont="1">
      <alignment horizontal="center" vertical="bottom"/>
    </xf>
    <xf borderId="2" fillId="0" fontId="13" numFmtId="4" xfId="0" applyAlignment="1" applyBorder="1" applyFont="1" applyNumberFormat="1">
      <alignment horizontal="right" vertical="bottom"/>
    </xf>
    <xf borderId="2" fillId="0" fontId="13" numFmtId="10" xfId="0" applyAlignment="1" applyBorder="1" applyFont="1" applyNumberFormat="1">
      <alignment horizontal="center" vertical="bottom"/>
    </xf>
    <xf borderId="2" fillId="0" fontId="13" numFmtId="4" xfId="0" applyAlignment="1" applyBorder="1" applyFont="1" applyNumberFormat="1">
      <alignment horizontal="center" vertical="bottom"/>
    </xf>
    <xf borderId="2" fillId="0" fontId="13" numFmtId="14" xfId="0" applyAlignment="1" applyBorder="1" applyFont="1" applyNumberFormat="1">
      <alignment horizontal="right" vertical="bottom"/>
    </xf>
    <xf borderId="2" fillId="0" fontId="13" numFmtId="164" xfId="0" applyAlignment="1" applyBorder="1" applyFont="1" applyNumberFormat="1">
      <alignment horizontal="center" vertical="bottom"/>
    </xf>
    <xf borderId="0" fillId="8" fontId="19" numFmtId="0" xfId="0" applyAlignment="1" applyFont="1">
      <alignment vertical="bottom"/>
    </xf>
    <xf borderId="0" fillId="11" fontId="2" numFmtId="0" xfId="0" applyAlignment="1" applyFont="1">
      <alignment readingOrder="0" vertical="bottom"/>
    </xf>
    <xf borderId="0" fillId="11" fontId="3" numFmtId="0" xfId="0" applyAlignment="1" applyFont="1">
      <alignment vertical="bottom"/>
    </xf>
    <xf borderId="0" fillId="15" fontId="5" numFmtId="4" xfId="0" applyAlignment="1" applyFill="1" applyFont="1" applyNumberFormat="1">
      <alignment horizontal="center" vertical="bottom"/>
    </xf>
    <xf borderId="0" fillId="11" fontId="3" numFmtId="0" xfId="0" applyAlignment="1" applyFont="1">
      <alignment readingOrder="0" vertical="bottom"/>
    </xf>
    <xf borderId="0" fillId="12" fontId="5" numFmtId="164" xfId="0" applyAlignment="1" applyFont="1" applyNumberFormat="1">
      <alignment horizontal="center" vertical="bottom"/>
    </xf>
    <xf borderId="1" fillId="11" fontId="2" numFmtId="0" xfId="0" applyAlignment="1" applyBorder="1" applyFont="1">
      <alignment vertical="bottom"/>
    </xf>
    <xf borderId="0" fillId="11" fontId="11" numFmtId="0" xfId="0" applyAlignment="1" applyFont="1">
      <alignment horizontal="center" vertical="bottom"/>
    </xf>
    <xf borderId="0" fillId="11" fontId="2" numFmtId="169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1" fillId="11" fontId="2" numFmtId="164" xfId="0" applyAlignment="1" applyBorder="1" applyFont="1" applyNumberFormat="1">
      <alignment vertical="bottom"/>
    </xf>
    <xf borderId="0" fillId="0" fontId="2" numFmtId="170" xfId="0" applyAlignment="1" applyFont="1" applyNumberFormat="1">
      <alignment readingOrder="0" vertical="bottom"/>
    </xf>
    <xf borderId="1" fillId="16" fontId="5" numFmtId="0" xfId="0" applyAlignment="1" applyBorder="1" applyFill="1" applyFont="1">
      <alignment horizontal="center" readingOrder="0" vertical="bottom"/>
    </xf>
    <xf borderId="0" fillId="0" fontId="18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0" fontId="2" numFmtId="164" xfId="0" applyAlignment="1" applyFont="1" applyNumberFormat="1">
      <alignment readingOrder="0" vertical="bottom"/>
    </xf>
    <xf borderId="2" fillId="0" fontId="14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readingOrder="0" vertical="bottom"/>
    </xf>
    <xf borderId="0" fillId="12" fontId="12" numFmtId="0" xfId="0" applyAlignment="1" applyFont="1">
      <alignment horizontal="center" vertical="bottom"/>
    </xf>
    <xf borderId="0" fillId="12" fontId="12" numFmtId="0" xfId="0" applyAlignment="1" applyFont="1">
      <alignment horizontal="center" readingOrder="0" vertical="bottom"/>
    </xf>
    <xf borderId="0" fillId="12" fontId="12" numFmtId="4" xfId="0" applyAlignment="1" applyFont="1" applyNumberFormat="1">
      <alignment horizontal="center" readingOrder="0" vertical="bottom"/>
    </xf>
    <xf borderId="0" fillId="12" fontId="12" numFmtId="4" xfId="0" applyAlignment="1" applyFont="1" applyNumberFormat="1">
      <alignment horizontal="center" vertical="bottom"/>
    </xf>
    <xf borderId="0" fillId="12" fontId="2" numFmtId="0" xfId="0" applyAlignment="1" applyFont="1">
      <alignment readingOrder="0" vertical="bottom"/>
    </xf>
    <xf borderId="0" fillId="0" fontId="1" numFmtId="164" xfId="0" applyFont="1" applyNumberFormat="1"/>
    <xf borderId="0" fillId="12" fontId="8" numFmtId="0" xfId="0" applyAlignment="1" applyFont="1">
      <alignment vertical="bottom"/>
    </xf>
    <xf borderId="0" fillId="12" fontId="12" numFmtId="164" xfId="0" applyAlignment="1" applyFont="1" applyNumberFormat="1">
      <alignment horizontal="center" readingOrder="0" vertical="bottom"/>
    </xf>
    <xf borderId="0" fillId="12" fontId="5" numFmtId="164" xfId="0" applyAlignment="1" applyFont="1" applyNumberFormat="1">
      <alignment horizontal="center" readingOrder="0" vertical="bottom"/>
    </xf>
    <xf borderId="1" fillId="11" fontId="2" numFmtId="0" xfId="0" applyAlignment="1" applyBorder="1" applyFont="1">
      <alignment readingOrder="0" vertical="bottom"/>
    </xf>
    <xf borderId="2" fillId="0" fontId="2" numFmtId="171" xfId="0" applyAlignment="1" applyBorder="1" applyFont="1" applyNumberFormat="1">
      <alignment vertical="bottom"/>
    </xf>
    <xf borderId="2" fillId="0" fontId="13" numFmtId="171" xfId="0" applyAlignment="1" applyBorder="1" applyFont="1" applyNumberFormat="1">
      <alignment horizontal="center" vertical="bottom"/>
    </xf>
    <xf borderId="0" fillId="0" fontId="13" numFmtId="4" xfId="0" applyAlignment="1" applyFont="1" applyNumberFormat="1">
      <alignment horizontal="right" vertical="bottom"/>
    </xf>
    <xf borderId="0" fillId="0" fontId="14" numFmtId="14" xfId="0" applyAlignment="1" applyFont="1" applyNumberFormat="1">
      <alignment horizontal="right" vertical="bottom"/>
    </xf>
    <xf borderId="0" fillId="4" fontId="20" numFmtId="0" xfId="0" applyAlignment="1" applyFont="1">
      <alignment horizontal="center" vertical="bottom"/>
    </xf>
    <xf borderId="0" fillId="0" fontId="19" numFmtId="0" xfId="0" applyAlignment="1" applyFont="1">
      <alignment vertical="bottom"/>
    </xf>
    <xf borderId="0" fillId="11" fontId="17" numFmtId="0" xfId="0" applyAlignment="1" applyFont="1">
      <alignment horizontal="center" vertical="bottom"/>
    </xf>
    <xf borderId="1" fillId="11" fontId="4" numFmtId="0" xfId="0" applyAlignment="1" applyBorder="1" applyFont="1">
      <alignment horizontal="center" vertical="bottom"/>
    </xf>
    <xf borderId="0" fillId="11" fontId="5" numFmtId="0" xfId="0" applyAlignment="1" applyFont="1">
      <alignment horizontal="center" vertical="bottom"/>
    </xf>
    <xf borderId="0" fillId="11" fontId="5" numFmtId="4" xfId="0" applyAlignment="1" applyFont="1" applyNumberFormat="1">
      <alignment horizontal="center" vertical="bottom"/>
    </xf>
    <xf borderId="0" fillId="11" fontId="11" numFmtId="0" xfId="0" applyAlignment="1" applyFont="1">
      <alignment vertical="bottom"/>
    </xf>
    <xf borderId="0" fillId="11" fontId="5" numFmtId="0" xfId="0" applyAlignment="1" applyFont="1">
      <alignment vertical="bottom"/>
    </xf>
    <xf borderId="0" fillId="11" fontId="18" numFmtId="0" xfId="0" applyAlignment="1" applyFont="1">
      <alignment vertical="bottom"/>
    </xf>
    <xf borderId="0" fillId="11" fontId="1" numFmtId="0" xfId="0" applyFont="1"/>
    <xf borderId="0" fillId="0" fontId="11" numFmtId="0" xfId="0" applyAlignment="1" applyFont="1">
      <alignment horizontal="right" readingOrder="0" vertical="bottom"/>
    </xf>
    <xf borderId="2" fillId="11" fontId="2" numFmtId="168" xfId="0" applyAlignment="1" applyBorder="1" applyFont="1" applyNumberFormat="1">
      <alignment vertical="bottom"/>
    </xf>
    <xf borderId="2" fillId="0" fontId="5" numFmtId="164" xfId="0" applyAlignment="1" applyBorder="1" applyFont="1" applyNumberFormat="1">
      <alignment horizontal="center" vertical="bottom"/>
    </xf>
    <xf borderId="2" fillId="0" fontId="14" numFmtId="2" xfId="0" applyAlignment="1" applyBorder="1" applyFont="1" applyNumberFormat="1">
      <alignment horizontal="center" vertical="bottom"/>
    </xf>
    <xf borderId="2" fillId="0" fontId="5" numFmtId="9" xfId="0" applyAlignment="1" applyBorder="1" applyFont="1" applyNumberFormat="1">
      <alignment horizontal="center" vertical="bottom"/>
    </xf>
    <xf borderId="0" fillId="0" fontId="13" numFmtId="14" xfId="0" applyAlignment="1" applyFont="1" applyNumberFormat="1">
      <alignment horizontal="right" vertical="bottom"/>
    </xf>
    <xf borderId="0" fillId="0" fontId="1" numFmtId="4" xfId="0" applyFont="1" applyNumberFormat="1"/>
    <xf borderId="0" fillId="10" fontId="5" numFmtId="0" xfId="0" applyAlignment="1" applyFont="1">
      <alignment readingOrder="0" vertical="bottom"/>
    </xf>
    <xf borderId="10" fillId="5" fontId="5" numFmtId="0" xfId="0" applyAlignment="1" applyBorder="1" applyFont="1">
      <alignment horizontal="center" vertical="bottom"/>
    </xf>
    <xf borderId="0" fillId="13" fontId="5" numFmtId="0" xfId="0" applyAlignment="1" applyFont="1">
      <alignment horizontal="center" vertical="bottom"/>
    </xf>
    <xf borderId="0" fillId="0" fontId="2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895350</xdr:colOff>
      <xdr:row>0</xdr:row>
      <xdr:rowOff>0</xdr:rowOff>
    </xdr:from>
    <xdr:ext cx="6867525" cy="3971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895350</xdr:colOff>
      <xdr:row>0</xdr:row>
      <xdr:rowOff>0</xdr:rowOff>
    </xdr:from>
    <xdr:ext cx="6867525" cy="3971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3" max="3" width="10.88"/>
    <col customWidth="1" min="4" max="4" width="29.75"/>
    <col customWidth="1" min="6" max="6" width="9.38"/>
    <col customWidth="1" min="9" max="9" width="17.5"/>
    <col customWidth="1" min="11" max="11" width="10.75"/>
    <col customWidth="1" min="12" max="12" width="58.5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>
      <c r="A4" s="2">
        <v>1.0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3">
        <v>82505.01821369864</v>
      </c>
      <c r="I4" s="2">
        <v>100032.0</v>
      </c>
    </row>
    <row r="5">
      <c r="A5" s="2">
        <v>1.0</v>
      </c>
      <c r="B5" s="2" t="s">
        <v>9</v>
      </c>
      <c r="C5" s="2" t="s">
        <v>10</v>
      </c>
      <c r="D5" s="2" t="s">
        <v>15</v>
      </c>
      <c r="E5" s="2" t="s">
        <v>12</v>
      </c>
      <c r="F5" s="2" t="s">
        <v>13</v>
      </c>
      <c r="G5" s="2" t="s">
        <v>16</v>
      </c>
      <c r="H5" s="3">
        <v>3831.9417863013696</v>
      </c>
      <c r="I5" s="2">
        <v>100035.0</v>
      </c>
    </row>
    <row r="6">
      <c r="A6" s="2">
        <v>1.0</v>
      </c>
      <c r="B6" s="2" t="s">
        <v>9</v>
      </c>
      <c r="C6" s="2" t="s">
        <v>10</v>
      </c>
      <c r="D6" s="2" t="s">
        <v>17</v>
      </c>
      <c r="E6" s="2" t="s">
        <v>18</v>
      </c>
      <c r="F6" s="2" t="s">
        <v>19</v>
      </c>
      <c r="G6" s="2" t="s">
        <v>20</v>
      </c>
      <c r="H6" s="3">
        <v>3831.9417863013696</v>
      </c>
      <c r="I6" s="2">
        <v>300008.0</v>
      </c>
    </row>
    <row r="7">
      <c r="A7" s="2">
        <v>1.0</v>
      </c>
      <c r="B7" s="2" t="s">
        <v>9</v>
      </c>
      <c r="C7" s="2" t="s">
        <v>10</v>
      </c>
      <c r="D7" s="2" t="s">
        <v>21</v>
      </c>
      <c r="E7" s="2" t="s">
        <v>22</v>
      </c>
      <c r="F7" s="2" t="s">
        <v>19</v>
      </c>
      <c r="G7" s="2" t="s">
        <v>23</v>
      </c>
      <c r="H7" s="3">
        <v>82505.01821369864</v>
      </c>
      <c r="I7" s="2">
        <v>200041.0</v>
      </c>
    </row>
    <row r="10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4" t="s">
        <v>24</v>
      </c>
      <c r="K10" s="4" t="s">
        <v>25</v>
      </c>
      <c r="L10" s="4" t="s">
        <v>26</v>
      </c>
    </row>
    <row r="11">
      <c r="A11" s="2">
        <v>1.0</v>
      </c>
      <c r="B11" s="2" t="s">
        <v>9</v>
      </c>
      <c r="C11" s="2" t="s">
        <v>10</v>
      </c>
      <c r="D11" s="5" t="s">
        <v>27</v>
      </c>
      <c r="E11" s="2" t="s">
        <v>12</v>
      </c>
      <c r="F11" s="5" t="s">
        <v>13</v>
      </c>
      <c r="G11" s="5" t="s">
        <v>28</v>
      </c>
      <c r="H11" s="6">
        <v>100.0</v>
      </c>
      <c r="I11" s="5">
        <v>100063.0</v>
      </c>
      <c r="J11" s="5">
        <v>1063.0</v>
      </c>
      <c r="K11" s="5" t="s">
        <v>29</v>
      </c>
      <c r="L11" s="5" t="s">
        <v>30</v>
      </c>
    </row>
    <row r="12">
      <c r="A12" s="2">
        <v>1.0</v>
      </c>
      <c r="B12" s="2" t="s">
        <v>9</v>
      </c>
      <c r="C12" s="2" t="s">
        <v>10</v>
      </c>
      <c r="D12" s="5" t="s">
        <v>31</v>
      </c>
      <c r="E12" s="2" t="s">
        <v>12</v>
      </c>
      <c r="F12" s="5" t="s">
        <v>13</v>
      </c>
      <c r="G12" s="5" t="s">
        <v>32</v>
      </c>
      <c r="H12" s="3">
        <f>H11*0.05</f>
        <v>5</v>
      </c>
      <c r="I12" s="5">
        <v>100056.0</v>
      </c>
      <c r="J12" s="5">
        <v>1056.0</v>
      </c>
      <c r="K12" s="5" t="s">
        <v>29</v>
      </c>
      <c r="L12" s="5" t="s">
        <v>33</v>
      </c>
    </row>
    <row r="13">
      <c r="A13" s="2">
        <v>1.0</v>
      </c>
      <c r="B13" s="2" t="s">
        <v>9</v>
      </c>
      <c r="C13" s="2" t="s">
        <v>10</v>
      </c>
      <c r="D13" s="5" t="s">
        <v>34</v>
      </c>
      <c r="E13" s="2" t="s">
        <v>18</v>
      </c>
      <c r="F13" s="5" t="s">
        <v>19</v>
      </c>
      <c r="G13" s="5" t="s">
        <v>35</v>
      </c>
      <c r="H13" s="6">
        <v>100.0</v>
      </c>
      <c r="I13" s="5">
        <v>300013.0</v>
      </c>
      <c r="J13" s="5">
        <v>3013.0</v>
      </c>
      <c r="K13" s="5" t="s">
        <v>29</v>
      </c>
      <c r="L13" s="5"/>
    </row>
    <row r="14">
      <c r="A14" s="2">
        <v>1.0</v>
      </c>
      <c r="B14" s="2" t="s">
        <v>9</v>
      </c>
      <c r="C14" s="2" t="s">
        <v>10</v>
      </c>
      <c r="D14" s="5" t="s">
        <v>36</v>
      </c>
      <c r="E14" s="2" t="s">
        <v>22</v>
      </c>
      <c r="F14" s="5" t="s">
        <v>19</v>
      </c>
      <c r="G14" s="5" t="s">
        <v>37</v>
      </c>
      <c r="H14" s="6">
        <v>5.0</v>
      </c>
      <c r="I14" s="5">
        <v>200065.0</v>
      </c>
      <c r="J14" s="5">
        <v>1047.0</v>
      </c>
      <c r="K14" s="5" t="s">
        <v>38</v>
      </c>
      <c r="L1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5" max="5" width="56.63"/>
    <col customWidth="1" min="11" max="11" width="19.75"/>
  </cols>
  <sheetData>
    <row r="1" ht="17.25" customHeight="1">
      <c r="A1" s="7"/>
      <c r="B1" s="8" t="s">
        <v>39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17.25" customHeight="1">
      <c r="A2" s="9" t="s">
        <v>40</v>
      </c>
      <c r="B2" s="9" t="s">
        <v>1</v>
      </c>
      <c r="C2" s="9" t="s">
        <v>41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10" t="s">
        <v>8</v>
      </c>
      <c r="K2" s="11" t="s">
        <v>42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7.25" customHeight="1">
      <c r="A3" s="12">
        <v>1.0</v>
      </c>
      <c r="B3" s="13" t="s">
        <v>9</v>
      </c>
      <c r="C3" s="14" t="s">
        <v>43</v>
      </c>
      <c r="D3" s="14" t="s">
        <v>10</v>
      </c>
      <c r="E3" s="15" t="s">
        <v>44</v>
      </c>
      <c r="F3" s="14" t="s">
        <v>45</v>
      </c>
      <c r="G3" s="14" t="s">
        <v>13</v>
      </c>
      <c r="H3" s="14" t="s">
        <v>14</v>
      </c>
      <c r="I3" s="16">
        <v>100000.0</v>
      </c>
      <c r="J3" s="17">
        <v>100031.0</v>
      </c>
      <c r="K3" s="17">
        <v>100003.0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17.25" customHeight="1">
      <c r="A4" s="12">
        <v>1.0</v>
      </c>
      <c r="B4" s="14" t="s">
        <v>9</v>
      </c>
      <c r="C4" s="13" t="s">
        <v>43</v>
      </c>
      <c r="D4" s="14" t="s">
        <v>10</v>
      </c>
      <c r="E4" s="14" t="s">
        <v>46</v>
      </c>
      <c r="F4" s="14" t="s">
        <v>18</v>
      </c>
      <c r="G4" s="14" t="s">
        <v>19</v>
      </c>
      <c r="H4" s="14" t="s">
        <v>47</v>
      </c>
      <c r="I4" s="16">
        <f>0.01*I3</f>
        <v>1000</v>
      </c>
      <c r="J4" s="17">
        <v>300004.0</v>
      </c>
      <c r="K4" s="17">
        <v>100003.0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17.25" customHeight="1">
      <c r="A5" s="12">
        <v>1.0</v>
      </c>
      <c r="B5" s="14" t="s">
        <v>9</v>
      </c>
      <c r="C5" s="13" t="s">
        <v>43</v>
      </c>
      <c r="D5" s="14" t="s">
        <v>10</v>
      </c>
      <c r="E5" s="15" t="s">
        <v>36</v>
      </c>
      <c r="F5" s="14" t="s">
        <v>22</v>
      </c>
      <c r="G5" s="14" t="s">
        <v>19</v>
      </c>
      <c r="H5" s="14" t="s">
        <v>48</v>
      </c>
      <c r="I5" s="16">
        <f>0.05*I4</f>
        <v>50</v>
      </c>
      <c r="J5" s="17">
        <v>200065.0</v>
      </c>
      <c r="K5" s="17">
        <v>100003.0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17.25" customHeight="1">
      <c r="A6" s="12">
        <v>1.0</v>
      </c>
      <c r="B6" s="14" t="s">
        <v>9</v>
      </c>
      <c r="C6" s="13" t="s">
        <v>43</v>
      </c>
      <c r="D6" s="14" t="s">
        <v>10</v>
      </c>
      <c r="E6" s="15" t="s">
        <v>49</v>
      </c>
      <c r="F6" s="14" t="s">
        <v>22</v>
      </c>
      <c r="G6" s="14" t="s">
        <v>19</v>
      </c>
      <c r="H6" s="14" t="s">
        <v>23</v>
      </c>
      <c r="I6" s="16">
        <f>+I3-I4-I5</f>
        <v>98950</v>
      </c>
      <c r="J6" s="17">
        <v>200040.0</v>
      </c>
      <c r="K6" s="17">
        <v>100003.0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17.25" customHeight="1">
      <c r="A7" s="7"/>
      <c r="B7" s="7"/>
      <c r="C7" s="18"/>
      <c r="D7" s="7"/>
      <c r="E7" s="7"/>
      <c r="F7" s="7"/>
      <c r="G7" s="7"/>
      <c r="H7" s="7"/>
      <c r="I7" s="19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17.25" customHeight="1">
      <c r="A8" s="7" t="s">
        <v>50</v>
      </c>
      <c r="B8" s="8" t="s">
        <v>51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17.25" customHeight="1">
      <c r="A9" s="9" t="s">
        <v>40</v>
      </c>
      <c r="B9" s="9" t="s">
        <v>1</v>
      </c>
      <c r="C9" s="9" t="s">
        <v>41</v>
      </c>
      <c r="D9" s="9" t="s">
        <v>2</v>
      </c>
      <c r="E9" s="9" t="s">
        <v>3</v>
      </c>
      <c r="F9" s="20"/>
      <c r="G9" s="9" t="s">
        <v>5</v>
      </c>
      <c r="H9" s="9" t="s">
        <v>6</v>
      </c>
      <c r="I9" s="9" t="s">
        <v>7</v>
      </c>
      <c r="J9" s="10" t="s">
        <v>8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17.25" customHeight="1">
      <c r="A10" s="21">
        <v>1.1</v>
      </c>
      <c r="B10" s="22" t="s">
        <v>52</v>
      </c>
      <c r="C10" s="23" t="s">
        <v>43</v>
      </c>
      <c r="D10" s="22" t="s">
        <v>10</v>
      </c>
      <c r="E10" s="22" t="s">
        <v>53</v>
      </c>
      <c r="F10" s="22" t="s">
        <v>12</v>
      </c>
      <c r="G10" s="22" t="s">
        <v>13</v>
      </c>
      <c r="H10" s="24"/>
      <c r="I10" s="25">
        <v>10000.0</v>
      </c>
      <c r="J10" s="26">
        <v>100006.0</v>
      </c>
      <c r="K10" s="26">
        <v>100006.0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ht="17.25" customHeight="1">
      <c r="A11" s="12">
        <v>1.1</v>
      </c>
      <c r="B11" s="14" t="s">
        <v>52</v>
      </c>
      <c r="C11" s="7"/>
      <c r="D11" s="14" t="s">
        <v>10</v>
      </c>
      <c r="E11" s="15" t="s">
        <v>54</v>
      </c>
      <c r="F11" s="14" t="s">
        <v>55</v>
      </c>
      <c r="G11" s="14" t="s">
        <v>19</v>
      </c>
      <c r="H11" s="27"/>
      <c r="I11" s="16">
        <v>10000.0</v>
      </c>
      <c r="J11" s="17">
        <v>210002.0</v>
      </c>
      <c r="K11" s="26">
        <v>100006.0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7.25" customHeight="1">
      <c r="A12" s="7"/>
      <c r="B12" s="7"/>
      <c r="C12" s="18"/>
      <c r="D12" s="28"/>
      <c r="E12" s="29"/>
      <c r="F12" s="7"/>
      <c r="G12" s="7"/>
      <c r="H12" s="7"/>
      <c r="I12" s="19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7.25" customHeight="1">
      <c r="A13" s="7"/>
      <c r="B13" s="7"/>
      <c r="C13" s="18"/>
      <c r="D13" s="28" t="s">
        <v>39</v>
      </c>
      <c r="E13" s="29" t="s">
        <v>56</v>
      </c>
      <c r="F13" s="7"/>
      <c r="G13" s="7"/>
      <c r="H13" s="7"/>
      <c r="I13" s="1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7.25" customHeight="1">
      <c r="A14" s="7"/>
      <c r="B14" s="7"/>
      <c r="C14" s="30"/>
      <c r="D14" s="31" t="s">
        <v>57</v>
      </c>
      <c r="E14" s="32" t="s">
        <v>58</v>
      </c>
      <c r="F14" s="33"/>
      <c r="G14" s="34" t="s">
        <v>59</v>
      </c>
      <c r="H14" s="7"/>
      <c r="I14" s="7"/>
      <c r="J14" s="10" t="s">
        <v>8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7.25" customHeight="1">
      <c r="A15" s="12">
        <v>2.0</v>
      </c>
      <c r="B15" s="14" t="s">
        <v>9</v>
      </c>
      <c r="C15" s="14" t="s">
        <v>43</v>
      </c>
      <c r="D15" s="14" t="s">
        <v>10</v>
      </c>
      <c r="E15" s="15" t="s">
        <v>49</v>
      </c>
      <c r="F15" s="14" t="s">
        <v>22</v>
      </c>
      <c r="G15" s="14" t="s">
        <v>13</v>
      </c>
      <c r="H15" s="14" t="s">
        <v>23</v>
      </c>
      <c r="I15" s="16">
        <f>I6</f>
        <v>98950</v>
      </c>
      <c r="J15" s="17">
        <v>200040.0</v>
      </c>
      <c r="K15" s="17">
        <v>100003.0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17.25" customHeight="1">
      <c r="A16" s="12">
        <v>2.0</v>
      </c>
      <c r="B16" s="14" t="s">
        <v>9</v>
      </c>
      <c r="C16" s="14" t="s">
        <v>43</v>
      </c>
      <c r="D16" s="14" t="s">
        <v>10</v>
      </c>
      <c r="E16" s="15" t="s">
        <v>60</v>
      </c>
      <c r="F16" s="14" t="s">
        <v>61</v>
      </c>
      <c r="G16" s="14" t="s">
        <v>19</v>
      </c>
      <c r="H16" s="14" t="s">
        <v>62</v>
      </c>
      <c r="I16" s="16">
        <f>I15</f>
        <v>98950</v>
      </c>
      <c r="J16" s="17">
        <v>100003.0</v>
      </c>
      <c r="K16" s="17">
        <v>100003.0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17.25" customHeight="1">
      <c r="A17" s="7"/>
      <c r="B17" s="7"/>
      <c r="C17" s="18"/>
      <c r="D17" s="7"/>
      <c r="E17" s="7"/>
      <c r="F17" s="7"/>
      <c r="G17" s="7"/>
      <c r="H17" s="7"/>
      <c r="I17" s="1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17.25" customHeight="1">
      <c r="A18" s="7"/>
      <c r="B18" s="7"/>
      <c r="C18" s="18"/>
      <c r="D18" s="28" t="s">
        <v>63</v>
      </c>
      <c r="E18" s="29" t="s">
        <v>64</v>
      </c>
      <c r="F18" s="7"/>
      <c r="G18" s="7"/>
      <c r="H18" s="7"/>
      <c r="I18" s="1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7.25" customHeight="1">
      <c r="A19" s="7"/>
      <c r="B19" s="7"/>
      <c r="C19" s="30"/>
      <c r="D19" s="31" t="s">
        <v>57</v>
      </c>
      <c r="E19" s="32" t="s">
        <v>65</v>
      </c>
      <c r="F19" s="33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7.25" customHeight="1">
      <c r="A20" s="9" t="s">
        <v>40</v>
      </c>
      <c r="B20" s="9" t="s">
        <v>1</v>
      </c>
      <c r="C20" s="9" t="s">
        <v>41</v>
      </c>
      <c r="D20" s="9" t="s">
        <v>2</v>
      </c>
      <c r="E20" s="9" t="s">
        <v>3</v>
      </c>
      <c r="F20" s="20"/>
      <c r="G20" s="9" t="s">
        <v>5</v>
      </c>
      <c r="H20" s="9" t="s">
        <v>6</v>
      </c>
      <c r="I20" s="9" t="s">
        <v>7</v>
      </c>
      <c r="J20" s="10" t="s">
        <v>8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7.25" customHeight="1">
      <c r="A21" s="12">
        <v>3.0</v>
      </c>
      <c r="B21" s="14" t="s">
        <v>66</v>
      </c>
      <c r="C21" s="14" t="s">
        <v>67</v>
      </c>
      <c r="D21" s="14" t="s">
        <v>10</v>
      </c>
      <c r="E21" s="15" t="s">
        <v>68</v>
      </c>
      <c r="F21" s="14" t="s">
        <v>18</v>
      </c>
      <c r="G21" s="14" t="s">
        <v>19</v>
      </c>
      <c r="H21" s="14" t="s">
        <v>69</v>
      </c>
      <c r="I21" s="16">
        <f>X48</f>
        <v>519.1780822</v>
      </c>
      <c r="J21" s="17">
        <v>300000.0</v>
      </c>
      <c r="K21" s="35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7.25" customHeight="1">
      <c r="A22" s="12">
        <v>3.0</v>
      </c>
      <c r="B22" s="14" t="s">
        <v>66</v>
      </c>
      <c r="C22" s="13" t="s">
        <v>67</v>
      </c>
      <c r="D22" s="14" t="s">
        <v>10</v>
      </c>
      <c r="E22" s="14" t="s">
        <v>70</v>
      </c>
      <c r="F22" s="14" t="s">
        <v>12</v>
      </c>
      <c r="G22" s="14" t="s">
        <v>13</v>
      </c>
      <c r="H22" s="14" t="s">
        <v>69</v>
      </c>
      <c r="I22" s="16">
        <f>I21</f>
        <v>519.1780822</v>
      </c>
      <c r="J22" s="17">
        <v>100034.0</v>
      </c>
      <c r="K22" s="3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7.25" customHeight="1">
      <c r="A23" s="7"/>
      <c r="B23" s="7"/>
      <c r="C23" s="18"/>
      <c r="D23" s="7"/>
      <c r="E23" s="7"/>
      <c r="F23" s="7"/>
      <c r="G23" s="7"/>
      <c r="H23" s="7"/>
      <c r="I23" s="1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7.25" customHeight="1">
      <c r="A24" s="7"/>
      <c r="B24" s="37" t="s">
        <v>71</v>
      </c>
      <c r="C24" s="18"/>
      <c r="D24" s="7"/>
      <c r="E24" s="7"/>
      <c r="F24" s="7"/>
      <c r="G24" s="7"/>
      <c r="H24" s="7"/>
      <c r="I24" s="1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7.25" customHeight="1">
      <c r="A25" s="38" t="s">
        <v>72</v>
      </c>
      <c r="B25" s="38" t="s">
        <v>73</v>
      </c>
      <c r="C25" s="38" t="s">
        <v>74</v>
      </c>
      <c r="D25" s="38" t="s">
        <v>75</v>
      </c>
      <c r="E25" s="38" t="s">
        <v>76</v>
      </c>
      <c r="F25" s="38" t="s">
        <v>77</v>
      </c>
      <c r="G25" s="7"/>
      <c r="H25" s="7"/>
      <c r="I25" s="1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7.25" customHeight="1">
      <c r="A26" s="39">
        <v>161.0</v>
      </c>
      <c r="B26" s="39" t="s">
        <v>78</v>
      </c>
      <c r="C26" s="39">
        <v>100062.0</v>
      </c>
      <c r="D26" s="39" t="s">
        <v>79</v>
      </c>
      <c r="E26" s="39" t="s">
        <v>80</v>
      </c>
      <c r="F26" s="40"/>
      <c r="G26" s="7"/>
      <c r="H26" s="7"/>
      <c r="I26" s="1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7.25" customHeight="1">
      <c r="A27" s="41">
        <v>162.0</v>
      </c>
      <c r="B27" s="41" t="s">
        <v>81</v>
      </c>
      <c r="C27" s="41">
        <v>210003.0</v>
      </c>
      <c r="D27" s="41" t="s">
        <v>82</v>
      </c>
      <c r="E27" s="42"/>
      <c r="F27" s="41" t="s">
        <v>80</v>
      </c>
      <c r="G27" s="7"/>
      <c r="H27" s="7"/>
      <c r="I27" s="1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7.25" customHeight="1">
      <c r="A28" s="7"/>
      <c r="B28" s="37"/>
      <c r="C28" s="18"/>
      <c r="D28" s="7"/>
      <c r="E28" s="7"/>
      <c r="F28" s="7"/>
      <c r="G28" s="7"/>
      <c r="H28" s="7"/>
      <c r="I28" s="1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7.25" customHeight="1">
      <c r="A29" s="7"/>
      <c r="B29" s="37" t="s">
        <v>83</v>
      </c>
      <c r="C29" s="18"/>
      <c r="D29" s="7"/>
      <c r="E29" s="7"/>
      <c r="F29" s="7"/>
      <c r="G29" s="7"/>
      <c r="H29" s="7"/>
      <c r="I29" s="1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7.25" customHeight="1">
      <c r="A30" s="38" t="s">
        <v>72</v>
      </c>
      <c r="B30" s="38" t="s">
        <v>73</v>
      </c>
      <c r="C30" s="38" t="s">
        <v>74</v>
      </c>
      <c r="D30" s="38" t="s">
        <v>75</v>
      </c>
      <c r="E30" s="38" t="s">
        <v>76</v>
      </c>
      <c r="F30" s="38" t="s">
        <v>77</v>
      </c>
      <c r="G30" s="7"/>
      <c r="H30" s="7"/>
      <c r="I30" s="1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7.25" customHeight="1">
      <c r="A31" s="39">
        <v>157.0</v>
      </c>
      <c r="B31" s="39" t="s">
        <v>81</v>
      </c>
      <c r="C31" s="39">
        <v>210003.0</v>
      </c>
      <c r="D31" s="39" t="s">
        <v>82</v>
      </c>
      <c r="E31" s="39" t="s">
        <v>84</v>
      </c>
      <c r="F31" s="40"/>
      <c r="G31" s="7"/>
      <c r="H31" s="7"/>
      <c r="I31" s="1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7.25" customHeight="1">
      <c r="A32" s="41">
        <v>158.0</v>
      </c>
      <c r="B32" s="41" t="s">
        <v>78</v>
      </c>
      <c r="C32" s="41">
        <v>100062.0</v>
      </c>
      <c r="D32" s="41" t="s">
        <v>79</v>
      </c>
      <c r="E32" s="42"/>
      <c r="F32" s="41" t="s">
        <v>84</v>
      </c>
      <c r="G32" s="7"/>
      <c r="H32" s="7"/>
      <c r="I32" s="1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7.25" customHeight="1">
      <c r="A33" s="7"/>
      <c r="B33" s="7"/>
      <c r="C33" s="18"/>
      <c r="D33" s="7"/>
      <c r="E33" s="7"/>
      <c r="F33" s="7"/>
      <c r="G33" s="7"/>
      <c r="H33" s="7"/>
      <c r="I33" s="1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7.25" customHeight="1">
      <c r="A34" s="7"/>
      <c r="B34" s="7"/>
      <c r="C34" s="18"/>
      <c r="D34" s="7"/>
      <c r="E34" s="7"/>
      <c r="F34" s="7"/>
      <c r="G34" s="7"/>
      <c r="H34" s="7"/>
      <c r="I34" s="19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7.25" customHeight="1">
      <c r="A35" s="7"/>
      <c r="B35" s="43" t="s">
        <v>85</v>
      </c>
      <c r="C35" s="31" t="s">
        <v>57</v>
      </c>
      <c r="D35" s="32" t="s">
        <v>86</v>
      </c>
      <c r="E35" s="3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7.25" customHeight="1">
      <c r="A36" s="9" t="s">
        <v>40</v>
      </c>
      <c r="B36" s="9" t="s">
        <v>1</v>
      </c>
      <c r="C36" s="9" t="s">
        <v>41</v>
      </c>
      <c r="D36" s="9" t="s">
        <v>2</v>
      </c>
      <c r="E36" s="9" t="s">
        <v>3</v>
      </c>
      <c r="F36" s="20"/>
      <c r="G36" s="9" t="s">
        <v>5</v>
      </c>
      <c r="H36" s="9" t="s">
        <v>6</v>
      </c>
      <c r="I36" s="9" t="s">
        <v>7</v>
      </c>
      <c r="J36" s="10" t="s">
        <v>8</v>
      </c>
      <c r="K36" s="7"/>
      <c r="L36" s="7"/>
      <c r="M36" s="44" t="s">
        <v>87</v>
      </c>
      <c r="N36" s="44" t="s">
        <v>88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7.25" customHeight="1">
      <c r="A37" s="12">
        <v>4.0</v>
      </c>
      <c r="B37" s="13" t="s">
        <v>52</v>
      </c>
      <c r="C37" s="7" t="s">
        <v>89</v>
      </c>
      <c r="D37" s="14" t="s">
        <v>10</v>
      </c>
      <c r="E37" s="45" t="s">
        <v>79</v>
      </c>
      <c r="F37" s="46" t="s">
        <v>12</v>
      </c>
      <c r="G37" s="46" t="s">
        <v>13</v>
      </c>
      <c r="H37" s="46" t="s">
        <v>90</v>
      </c>
      <c r="I37" s="47">
        <v>17682.0</v>
      </c>
      <c r="J37" s="17">
        <v>100062.0</v>
      </c>
      <c r="K37" s="35">
        <v>100001.0</v>
      </c>
      <c r="L37" s="7"/>
      <c r="M37" s="44" t="s">
        <v>91</v>
      </c>
      <c r="N37" s="44" t="s">
        <v>92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7.25" customHeight="1">
      <c r="A38" s="12">
        <v>4.0</v>
      </c>
      <c r="B38" s="14" t="s">
        <v>52</v>
      </c>
      <c r="C38" s="18"/>
      <c r="D38" s="14" t="s">
        <v>10</v>
      </c>
      <c r="E38" s="15" t="s">
        <v>44</v>
      </c>
      <c r="F38" s="14" t="s">
        <v>12</v>
      </c>
      <c r="G38" s="14" t="s">
        <v>19</v>
      </c>
      <c r="H38" s="27"/>
      <c r="I38" s="16">
        <v>15657.21</v>
      </c>
      <c r="J38" s="17">
        <v>100031.0</v>
      </c>
      <c r="K38" s="35">
        <v>100001.0</v>
      </c>
      <c r="L38" s="7"/>
      <c r="M38" s="48" t="s">
        <v>93</v>
      </c>
      <c r="N38" s="48" t="s">
        <v>94</v>
      </c>
      <c r="O38" s="49"/>
      <c r="P38" s="49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7.25" customHeight="1">
      <c r="A39" s="12">
        <v>4.0</v>
      </c>
      <c r="B39" s="14" t="s">
        <v>52</v>
      </c>
      <c r="C39" s="18"/>
      <c r="D39" s="14" t="s">
        <v>10</v>
      </c>
      <c r="E39" s="14" t="s">
        <v>70</v>
      </c>
      <c r="F39" s="14" t="s">
        <v>12</v>
      </c>
      <c r="G39" s="14" t="s">
        <v>19</v>
      </c>
      <c r="H39" s="27"/>
      <c r="I39" s="16">
        <v>2024.79</v>
      </c>
      <c r="J39" s="17">
        <v>100034.0</v>
      </c>
      <c r="K39" s="35">
        <v>100001.0</v>
      </c>
      <c r="L39" s="7"/>
      <c r="M39" s="50" t="s">
        <v>95</v>
      </c>
      <c r="N39" s="50" t="s">
        <v>96</v>
      </c>
      <c r="O39" s="49"/>
      <c r="P39" s="49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7.25" customHeight="1">
      <c r="A40" s="7"/>
      <c r="B40" s="7"/>
      <c r="C40" s="7"/>
      <c r="D40" s="7"/>
      <c r="E40" s="7"/>
      <c r="F40" s="7"/>
      <c r="G40" s="7"/>
      <c r="H40" s="7"/>
      <c r="I40" s="19"/>
      <c r="J40" s="7"/>
      <c r="K40" s="7"/>
      <c r="L40" s="7"/>
      <c r="M40" s="50" t="s">
        <v>97</v>
      </c>
      <c r="N40" s="50" t="s">
        <v>98</v>
      </c>
      <c r="O40" s="49"/>
      <c r="P40" s="49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7.25" customHeight="1">
      <c r="A41" s="7"/>
      <c r="B41" s="7"/>
      <c r="C41" s="30"/>
      <c r="D41" s="31" t="s">
        <v>57</v>
      </c>
      <c r="E41" s="32" t="s">
        <v>65</v>
      </c>
      <c r="F41" s="33"/>
      <c r="G41" s="7"/>
      <c r="H41" s="7"/>
      <c r="I41" s="19"/>
      <c r="J41" s="7"/>
      <c r="K41" s="7"/>
      <c r="L41" s="7"/>
      <c r="M41" s="51" t="s">
        <v>99</v>
      </c>
      <c r="N41" s="51" t="s">
        <v>100</v>
      </c>
      <c r="O41" s="23"/>
      <c r="P41" s="23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7.25" customHeight="1">
      <c r="A42" s="9" t="s">
        <v>40</v>
      </c>
      <c r="B42" s="9" t="s">
        <v>1</v>
      </c>
      <c r="C42" s="9" t="s">
        <v>41</v>
      </c>
      <c r="D42" s="9" t="s">
        <v>2</v>
      </c>
      <c r="E42" s="9" t="s">
        <v>3</v>
      </c>
      <c r="F42" s="20"/>
      <c r="G42" s="9" t="s">
        <v>5</v>
      </c>
      <c r="H42" s="9" t="s">
        <v>6</v>
      </c>
      <c r="I42" s="9" t="s">
        <v>7</v>
      </c>
      <c r="J42" s="10" t="s">
        <v>8</v>
      </c>
      <c r="K42" s="7"/>
      <c r="L42" s="7"/>
      <c r="M42" s="50" t="s">
        <v>101</v>
      </c>
      <c r="N42" s="50" t="s">
        <v>102</v>
      </c>
      <c r="O42" s="49"/>
      <c r="P42" s="49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7.25" customHeight="1">
      <c r="A43" s="12">
        <v>5.0</v>
      </c>
      <c r="B43" s="14" t="s">
        <v>66</v>
      </c>
      <c r="C43" s="14" t="s">
        <v>103</v>
      </c>
      <c r="D43" s="14" t="s">
        <v>10</v>
      </c>
      <c r="E43" s="15" t="s">
        <v>68</v>
      </c>
      <c r="F43" s="14" t="s">
        <v>18</v>
      </c>
      <c r="G43" s="14" t="s">
        <v>19</v>
      </c>
      <c r="H43" s="14" t="s">
        <v>69</v>
      </c>
      <c r="I43" s="16">
        <f>X49</f>
        <v>1593.194294</v>
      </c>
      <c r="J43" s="17">
        <v>300000.0</v>
      </c>
      <c r="K43" s="36"/>
      <c r="L43" s="7"/>
      <c r="M43" s="50" t="s">
        <v>104</v>
      </c>
      <c r="N43" s="50" t="s">
        <v>105</v>
      </c>
      <c r="O43" s="49"/>
      <c r="P43" s="49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7.25" customHeight="1">
      <c r="A44" s="12">
        <v>5.0</v>
      </c>
      <c r="B44" s="14" t="s">
        <v>66</v>
      </c>
      <c r="C44" s="13" t="str">
        <f>C43</f>
        <v>31-03-2025</v>
      </c>
      <c r="D44" s="14" t="s">
        <v>10</v>
      </c>
      <c r="E44" s="14" t="s">
        <v>70</v>
      </c>
      <c r="F44" s="14" t="s">
        <v>12</v>
      </c>
      <c r="G44" s="14" t="s">
        <v>13</v>
      </c>
      <c r="H44" s="14" t="s">
        <v>69</v>
      </c>
      <c r="I44" s="16">
        <f>I43</f>
        <v>1593.194294</v>
      </c>
      <c r="J44" s="17">
        <v>100034.0</v>
      </c>
      <c r="K44" s="36"/>
      <c r="L44" s="7"/>
      <c r="M44" s="50" t="s">
        <v>106</v>
      </c>
      <c r="N44" s="50" t="s">
        <v>107</v>
      </c>
      <c r="O44" s="49"/>
      <c r="P44" s="49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7.25" customHeight="1">
      <c r="A45" s="7"/>
      <c r="B45" s="7"/>
      <c r="C45" s="18"/>
      <c r="D45" s="7"/>
      <c r="E45" s="7"/>
      <c r="F45" s="7"/>
      <c r="G45" s="7"/>
      <c r="H45" s="7"/>
      <c r="I45" s="19"/>
      <c r="J45" s="7"/>
      <c r="K45" s="7"/>
      <c r="L45" s="7"/>
      <c r="M45" s="50" t="s">
        <v>108</v>
      </c>
      <c r="N45" s="50" t="s">
        <v>109</v>
      </c>
      <c r="O45" s="49"/>
      <c r="P45" s="49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7.25" customHeight="1">
      <c r="A46" s="7"/>
      <c r="B46" s="7"/>
      <c r="C46" s="18"/>
      <c r="D46" s="7"/>
      <c r="E46" s="7"/>
      <c r="F46" s="7"/>
      <c r="G46" s="7"/>
      <c r="H46" s="7"/>
      <c r="I46" s="19"/>
      <c r="J46" s="7"/>
      <c r="K46" s="7"/>
      <c r="L46" s="7"/>
      <c r="M46" s="18"/>
      <c r="N46" s="18"/>
      <c r="O46" s="7"/>
      <c r="P46" s="8" t="s">
        <v>110</v>
      </c>
      <c r="Q46" s="7"/>
      <c r="R46" s="52">
        <v>45707.0</v>
      </c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7.25" customHeight="1">
      <c r="A47" s="7"/>
      <c r="B47" s="7"/>
      <c r="C47" s="31" t="s">
        <v>57</v>
      </c>
      <c r="D47" s="32" t="s">
        <v>86</v>
      </c>
      <c r="E47" s="33"/>
      <c r="F47" s="7"/>
      <c r="G47" s="7"/>
      <c r="H47" s="7"/>
      <c r="I47" s="7"/>
      <c r="J47" s="7"/>
      <c r="K47" s="7"/>
      <c r="L47" s="7"/>
      <c r="M47" s="18"/>
      <c r="N47" s="18"/>
      <c r="O47" s="7"/>
      <c r="P47" s="7" t="s">
        <v>111</v>
      </c>
      <c r="Q47" s="53" t="s">
        <v>112</v>
      </c>
      <c r="R47" s="53" t="s">
        <v>113</v>
      </c>
      <c r="S47" s="53" t="s">
        <v>114</v>
      </c>
      <c r="T47" s="53" t="s">
        <v>115</v>
      </c>
      <c r="U47" s="53" t="s">
        <v>116</v>
      </c>
      <c r="V47" s="53" t="s">
        <v>117</v>
      </c>
      <c r="W47" s="7"/>
      <c r="X47" s="7"/>
      <c r="Y47" s="7"/>
      <c r="Z47" s="7"/>
      <c r="AA47" s="7"/>
      <c r="AB47" s="7"/>
    </row>
    <row r="48" ht="17.25" customHeight="1">
      <c r="A48" s="9" t="s">
        <v>40</v>
      </c>
      <c r="B48" s="9" t="s">
        <v>1</v>
      </c>
      <c r="C48" s="9" t="s">
        <v>41</v>
      </c>
      <c r="D48" s="9" t="s">
        <v>2</v>
      </c>
      <c r="E48" s="9" t="s">
        <v>3</v>
      </c>
      <c r="F48" s="20"/>
      <c r="G48" s="9" t="s">
        <v>5</v>
      </c>
      <c r="H48" s="9" t="s">
        <v>6</v>
      </c>
      <c r="I48" s="9" t="s">
        <v>7</v>
      </c>
      <c r="J48" s="10" t="s">
        <v>8</v>
      </c>
      <c r="K48" s="7"/>
      <c r="L48" s="7"/>
      <c r="M48" s="7"/>
      <c r="N48" s="7"/>
      <c r="O48" s="7"/>
      <c r="P48" s="7"/>
      <c r="Q48" s="54">
        <v>1.0</v>
      </c>
      <c r="R48" s="55">
        <v>45716.0</v>
      </c>
      <c r="S48" s="54">
        <v>100000.0</v>
      </c>
      <c r="T48" s="54">
        <v>100000.0</v>
      </c>
      <c r="U48" s="54">
        <v>519.18</v>
      </c>
      <c r="V48" s="54">
        <v>519.18</v>
      </c>
      <c r="W48" s="56">
        <f>R48-R46+1</f>
        <v>10</v>
      </c>
      <c r="X48" s="56">
        <f>T48*18.95%/365*((R48-R46)+1)</f>
        <v>519.1780822</v>
      </c>
      <c r="Y48" s="7"/>
      <c r="Z48" s="7"/>
      <c r="AA48" s="7"/>
      <c r="AB48" s="7"/>
    </row>
    <row r="49" ht="17.25" customHeight="1">
      <c r="A49" s="12">
        <v>6.0</v>
      </c>
      <c r="B49" s="14" t="s">
        <v>52</v>
      </c>
      <c r="C49" s="7" t="s">
        <v>118</v>
      </c>
      <c r="D49" s="14" t="s">
        <v>10</v>
      </c>
      <c r="E49" s="15" t="s">
        <v>119</v>
      </c>
      <c r="F49" s="14" t="s">
        <v>12</v>
      </c>
      <c r="G49" s="14" t="s">
        <v>13</v>
      </c>
      <c r="H49" s="14" t="s">
        <v>90</v>
      </c>
      <c r="I49" s="16">
        <f>I50+I51</f>
        <v>17682</v>
      </c>
      <c r="J49" s="17">
        <v>100062.0</v>
      </c>
      <c r="K49" s="35">
        <v>100001.0</v>
      </c>
      <c r="L49" s="7"/>
      <c r="M49" s="7"/>
      <c r="N49" s="7"/>
      <c r="O49" s="7"/>
      <c r="P49" s="57">
        <v>45746.0</v>
      </c>
      <c r="Q49" s="58">
        <v>2.0</v>
      </c>
      <c r="R49" s="59">
        <v>45747.0</v>
      </c>
      <c r="S49" s="58">
        <v>100000.0</v>
      </c>
      <c r="T49" s="58">
        <v>84342.79</v>
      </c>
      <c r="U49" s="58">
        <v>1593.19</v>
      </c>
      <c r="V49" s="58">
        <v>1593.19</v>
      </c>
      <c r="W49" s="56">
        <v>31.0</v>
      </c>
      <c r="X49" s="56">
        <f t="shared" ref="X49:X54" si="1">(S49*18.95%/365*(P49-R48-1))+(T49*18.95%/365*(R49-P49+1))</f>
        <v>1593.194294</v>
      </c>
      <c r="Y49" s="7"/>
      <c r="Z49" s="7"/>
      <c r="AA49" s="7"/>
      <c r="AB49" s="7"/>
    </row>
    <row r="50" ht="17.25" customHeight="1">
      <c r="A50" s="12">
        <v>6.0</v>
      </c>
      <c r="B50" s="14" t="s">
        <v>52</v>
      </c>
      <c r="C50" s="18"/>
      <c r="D50" s="14" t="s">
        <v>10</v>
      </c>
      <c r="E50" s="15" t="s">
        <v>44</v>
      </c>
      <c r="F50" s="14" t="s">
        <v>12</v>
      </c>
      <c r="G50" s="14" t="s">
        <v>19</v>
      </c>
      <c r="H50" s="27"/>
      <c r="I50" s="16">
        <f>16324.54</f>
        <v>16324.54</v>
      </c>
      <c r="J50" s="17">
        <v>100031.0</v>
      </c>
      <c r="K50" s="35">
        <v>100001.0</v>
      </c>
      <c r="L50" s="7"/>
      <c r="M50" s="7"/>
      <c r="N50" s="7"/>
      <c r="O50" s="7"/>
      <c r="P50" s="57">
        <v>45777.0</v>
      </c>
      <c r="Q50" s="58">
        <v>3.0</v>
      </c>
      <c r="R50" s="59">
        <v>45777.0</v>
      </c>
      <c r="S50" s="58">
        <v>84342.79</v>
      </c>
      <c r="T50" s="58">
        <v>68018.25</v>
      </c>
      <c r="U50" s="58">
        <v>1305.2</v>
      </c>
      <c r="V50" s="58">
        <v>1305.2</v>
      </c>
      <c r="W50" s="56">
        <v>30.0</v>
      </c>
      <c r="X50" s="56">
        <f t="shared" si="1"/>
        <v>1305.192495</v>
      </c>
      <c r="Y50" s="7"/>
      <c r="Z50" s="7"/>
      <c r="AA50" s="7"/>
      <c r="AB50" s="7"/>
    </row>
    <row r="51" ht="17.25" customHeight="1">
      <c r="A51" s="12">
        <v>6.0</v>
      </c>
      <c r="B51" s="14" t="s">
        <v>52</v>
      </c>
      <c r="C51" s="18"/>
      <c r="D51" s="14" t="s">
        <v>10</v>
      </c>
      <c r="E51" s="14" t="s">
        <v>70</v>
      </c>
      <c r="F51" s="14" t="s">
        <v>12</v>
      </c>
      <c r="G51" s="14" t="s">
        <v>19</v>
      </c>
      <c r="H51" s="27"/>
      <c r="I51" s="16">
        <v>1357.46</v>
      </c>
      <c r="J51" s="17">
        <v>100034.0</v>
      </c>
      <c r="K51" s="35">
        <v>100001.0</v>
      </c>
      <c r="L51" s="7"/>
      <c r="M51" s="7"/>
      <c r="N51" s="7"/>
      <c r="O51" s="7"/>
      <c r="P51" s="57">
        <v>45807.0</v>
      </c>
      <c r="Q51" s="58">
        <v>4.0</v>
      </c>
      <c r="R51" s="59">
        <v>45808.0</v>
      </c>
      <c r="S51" s="58">
        <v>68018.25</v>
      </c>
      <c r="T51" s="58">
        <v>51395.66</v>
      </c>
      <c r="U51" s="58">
        <v>1077.46</v>
      </c>
      <c r="V51" s="58">
        <v>1077.46</v>
      </c>
      <c r="W51" s="56">
        <v>31.0</v>
      </c>
      <c r="X51" s="56">
        <f t="shared" si="1"/>
        <v>1077.460953</v>
      </c>
      <c r="Y51" s="7"/>
      <c r="Z51" s="7"/>
      <c r="AA51" s="7"/>
      <c r="AB51" s="7"/>
    </row>
    <row r="52" ht="17.25" customHeight="1">
      <c r="A52" s="7"/>
      <c r="B52" s="7"/>
      <c r="C52" s="7"/>
      <c r="D52" s="7"/>
      <c r="E52" s="7"/>
      <c r="F52" s="7"/>
      <c r="G52" s="7"/>
      <c r="H52" s="7"/>
      <c r="I52" s="19"/>
      <c r="J52" s="7"/>
      <c r="K52" s="7"/>
      <c r="L52" s="7"/>
      <c r="M52" s="7"/>
      <c r="N52" s="7"/>
      <c r="O52" s="7"/>
      <c r="P52" s="57">
        <v>45838.0</v>
      </c>
      <c r="Q52" s="58">
        <v>5.0</v>
      </c>
      <c r="R52" s="59">
        <v>45838.0</v>
      </c>
      <c r="S52" s="58">
        <v>51395.66</v>
      </c>
      <c r="T52" s="58">
        <v>34540.85</v>
      </c>
      <c r="U52" s="58">
        <v>791.76</v>
      </c>
      <c r="V52" s="58">
        <v>791.76</v>
      </c>
      <c r="W52" s="56">
        <v>30.0</v>
      </c>
      <c r="X52" s="56">
        <f t="shared" si="1"/>
        <v>791.7543578</v>
      </c>
      <c r="Y52" s="7"/>
      <c r="Z52" s="7"/>
      <c r="AA52" s="7"/>
      <c r="AB52" s="7"/>
    </row>
    <row r="53" ht="17.25" customHeight="1">
      <c r="A53" s="7"/>
      <c r="B53" s="7"/>
      <c r="C53" s="7"/>
      <c r="D53" s="7"/>
      <c r="E53" s="7"/>
      <c r="F53" s="7"/>
      <c r="G53" s="7"/>
      <c r="H53" s="7"/>
      <c r="I53" s="19"/>
      <c r="J53" s="7"/>
      <c r="K53" s="7"/>
      <c r="L53" s="7"/>
      <c r="M53" s="7"/>
      <c r="N53" s="7"/>
      <c r="O53" s="7"/>
      <c r="P53" s="57">
        <v>45868.0</v>
      </c>
      <c r="Q53" s="58">
        <v>6.0</v>
      </c>
      <c r="R53" s="59">
        <v>45869.0</v>
      </c>
      <c r="S53" s="58">
        <v>34540.85</v>
      </c>
      <c r="T53" s="58">
        <v>17396.84</v>
      </c>
      <c r="U53" s="58">
        <v>538.45</v>
      </c>
      <c r="V53" s="58">
        <v>538.45</v>
      </c>
      <c r="W53" s="56">
        <v>31.0</v>
      </c>
      <c r="X53" s="56">
        <f t="shared" si="1"/>
        <v>538.1168316</v>
      </c>
      <c r="Y53" s="7"/>
      <c r="Z53" s="7"/>
      <c r="AA53" s="7"/>
      <c r="AB53" s="7"/>
    </row>
    <row r="54" ht="17.25" customHeight="1">
      <c r="A54" s="7"/>
      <c r="B54" s="7"/>
      <c r="C54" s="30"/>
      <c r="D54" s="31" t="s">
        <v>57</v>
      </c>
      <c r="E54" s="32" t="s">
        <v>65</v>
      </c>
      <c r="F54" s="33"/>
      <c r="G54" s="7"/>
      <c r="H54" s="7"/>
      <c r="I54" s="7"/>
      <c r="J54" s="7"/>
      <c r="K54" s="7"/>
      <c r="L54" s="7"/>
      <c r="M54" s="7"/>
      <c r="N54" s="7"/>
      <c r="O54" s="7"/>
      <c r="P54" s="60">
        <v>45899.0</v>
      </c>
      <c r="Q54" s="58">
        <v>7.0</v>
      </c>
      <c r="R54" s="55">
        <v>45900.0</v>
      </c>
      <c r="S54" s="58">
        <v>17396.84</v>
      </c>
      <c r="T54" s="58">
        <v>0.0</v>
      </c>
      <c r="U54" s="58">
        <v>266.76</v>
      </c>
      <c r="V54" s="58">
        <v>266.76</v>
      </c>
      <c r="W54" s="56">
        <v>31.0</v>
      </c>
      <c r="X54" s="56">
        <f t="shared" si="1"/>
        <v>261.9296828</v>
      </c>
      <c r="Y54" s="7"/>
      <c r="Z54" s="7"/>
      <c r="AA54" s="7"/>
      <c r="AB54" s="7"/>
    </row>
    <row r="55" ht="17.25" customHeight="1">
      <c r="A55" s="9" t="s">
        <v>40</v>
      </c>
      <c r="B55" s="9" t="s">
        <v>1</v>
      </c>
      <c r="C55" s="9" t="s">
        <v>41</v>
      </c>
      <c r="D55" s="9" t="s">
        <v>2</v>
      </c>
      <c r="E55" s="9" t="s">
        <v>3</v>
      </c>
      <c r="F55" s="20"/>
      <c r="G55" s="9" t="s">
        <v>5</v>
      </c>
      <c r="H55" s="9" t="s">
        <v>6</v>
      </c>
      <c r="I55" s="9" t="s">
        <v>7</v>
      </c>
      <c r="J55" s="10" t="s">
        <v>8</v>
      </c>
      <c r="K55" s="7"/>
      <c r="L55" s="7"/>
      <c r="M55" s="7"/>
      <c r="N55" s="7"/>
      <c r="O55" s="7"/>
      <c r="P55" s="8" t="s">
        <v>120</v>
      </c>
      <c r="Q55" s="18"/>
      <c r="R55" s="18"/>
      <c r="S55" s="18"/>
      <c r="T55" s="18"/>
      <c r="U55" s="58">
        <f>sum(U48:U54)</f>
        <v>6092</v>
      </c>
      <c r="V55" s="18"/>
      <c r="W55" s="7"/>
      <c r="X55" s="54">
        <f>sum(X48:X54)</f>
        <v>6086.826698</v>
      </c>
      <c r="Y55" s="7"/>
      <c r="Z55" s="7"/>
      <c r="AA55" s="7"/>
      <c r="AB55" s="7"/>
    </row>
    <row r="56" ht="17.25" customHeight="1">
      <c r="A56" s="12">
        <v>7.0</v>
      </c>
      <c r="B56" s="14" t="s">
        <v>66</v>
      </c>
      <c r="C56" s="14" t="s">
        <v>118</v>
      </c>
      <c r="D56" s="14" t="s">
        <v>10</v>
      </c>
      <c r="E56" s="15" t="s">
        <v>68</v>
      </c>
      <c r="F56" s="14" t="s">
        <v>18</v>
      </c>
      <c r="G56" s="14" t="s">
        <v>19</v>
      </c>
      <c r="H56" s="14" t="s">
        <v>69</v>
      </c>
      <c r="I56" s="16">
        <f>X50</f>
        <v>1305.192495</v>
      </c>
      <c r="J56" s="17">
        <v>300000.0</v>
      </c>
      <c r="K56" s="36"/>
      <c r="L56" s="7"/>
      <c r="M56" s="7"/>
      <c r="N56" s="7"/>
      <c r="O56" s="7"/>
      <c r="P56" s="53" t="s">
        <v>121</v>
      </c>
      <c r="Q56" s="61" t="s">
        <v>122</v>
      </c>
      <c r="R56" s="61" t="s">
        <v>123</v>
      </c>
      <c r="S56" s="61" t="s">
        <v>124</v>
      </c>
      <c r="T56" s="61" t="s">
        <v>125</v>
      </c>
      <c r="U56" s="61" t="s">
        <v>114</v>
      </c>
      <c r="V56" s="61" t="s">
        <v>126</v>
      </c>
      <c r="W56" s="53" t="s">
        <v>127</v>
      </c>
      <c r="X56" s="53" t="s">
        <v>128</v>
      </c>
      <c r="Y56" s="53" t="s">
        <v>129</v>
      </c>
      <c r="Z56" s="7"/>
      <c r="AA56" s="7"/>
      <c r="AB56" s="7"/>
    </row>
    <row r="57" ht="17.25" customHeight="1">
      <c r="A57" s="12">
        <v>7.0</v>
      </c>
      <c r="B57" s="14" t="s">
        <v>66</v>
      </c>
      <c r="C57" s="13" t="str">
        <f>C56</f>
        <v>30-04-2025</v>
      </c>
      <c r="D57" s="14" t="s">
        <v>10</v>
      </c>
      <c r="E57" s="14" t="s">
        <v>70</v>
      </c>
      <c r="F57" s="14" t="s">
        <v>12</v>
      </c>
      <c r="G57" s="14" t="s">
        <v>13</v>
      </c>
      <c r="H57" s="14" t="s">
        <v>69</v>
      </c>
      <c r="I57" s="16">
        <f>I56</f>
        <v>1305.192495</v>
      </c>
      <c r="J57" s="17">
        <v>100034.0</v>
      </c>
      <c r="K57" s="36"/>
      <c r="L57" s="7"/>
      <c r="M57" s="7"/>
      <c r="N57" s="7"/>
      <c r="O57" s="7"/>
      <c r="P57" s="54">
        <v>1.0</v>
      </c>
      <c r="Q57" s="53" t="s">
        <v>89</v>
      </c>
      <c r="R57" s="54">
        <v>17682.0</v>
      </c>
      <c r="S57" s="54">
        <v>15657.21</v>
      </c>
      <c r="T57" s="54">
        <v>2024.79</v>
      </c>
      <c r="U57" s="54">
        <v>100000.0</v>
      </c>
      <c r="V57" s="54">
        <v>84342.79</v>
      </c>
      <c r="W57" s="53" t="s">
        <v>130</v>
      </c>
      <c r="X57" s="53" t="s">
        <v>131</v>
      </c>
      <c r="Y57" s="53" t="s">
        <v>131</v>
      </c>
      <c r="Z57" s="7"/>
      <c r="AA57" s="7"/>
      <c r="AB57" s="7"/>
    </row>
    <row r="58" ht="17.25" customHeight="1">
      <c r="A58" s="7"/>
      <c r="B58" s="7"/>
      <c r="C58" s="18"/>
      <c r="D58" s="7"/>
      <c r="E58" s="7"/>
      <c r="F58" s="7"/>
      <c r="G58" s="7"/>
      <c r="H58" s="7"/>
      <c r="I58" s="19"/>
      <c r="J58" s="7"/>
      <c r="K58" s="7"/>
      <c r="L58" s="7"/>
      <c r="M58" s="7"/>
      <c r="N58" s="7"/>
      <c r="O58" s="7"/>
      <c r="P58" s="54">
        <v>2.0</v>
      </c>
      <c r="Q58" s="53" t="s">
        <v>118</v>
      </c>
      <c r="R58" s="54">
        <v>17682.0</v>
      </c>
      <c r="S58" s="54">
        <v>16324.54</v>
      </c>
      <c r="T58" s="54">
        <v>1357.46</v>
      </c>
      <c r="U58" s="54">
        <v>84342.79</v>
      </c>
      <c r="V58" s="54">
        <v>68018.25</v>
      </c>
      <c r="W58" s="53" t="s">
        <v>130</v>
      </c>
      <c r="X58" s="53" t="s">
        <v>131</v>
      </c>
      <c r="Y58" s="53" t="s">
        <v>131</v>
      </c>
      <c r="Z58" s="7"/>
      <c r="AA58" s="7"/>
      <c r="AB58" s="7"/>
    </row>
    <row r="59" ht="17.25" customHeight="1">
      <c r="A59" s="7"/>
      <c r="B59" s="7"/>
      <c r="C59" s="62" t="s">
        <v>57</v>
      </c>
      <c r="D59" s="32" t="s">
        <v>86</v>
      </c>
      <c r="E59" s="33"/>
      <c r="F59" s="7"/>
      <c r="G59" s="7"/>
      <c r="H59" s="7"/>
      <c r="I59" s="19"/>
      <c r="J59" s="7"/>
      <c r="K59" s="7"/>
      <c r="L59" s="7"/>
      <c r="M59" s="7"/>
      <c r="N59" s="7"/>
      <c r="O59" s="7"/>
      <c r="P59" s="54">
        <v>3.0</v>
      </c>
      <c r="Q59" s="53" t="s">
        <v>132</v>
      </c>
      <c r="R59" s="54">
        <v>17682.0</v>
      </c>
      <c r="S59" s="54">
        <v>16622.59</v>
      </c>
      <c r="T59" s="54">
        <v>1059.41</v>
      </c>
      <c r="U59" s="54">
        <v>68018.25</v>
      </c>
      <c r="V59" s="54">
        <v>51395.66</v>
      </c>
      <c r="W59" s="53" t="s">
        <v>133</v>
      </c>
      <c r="X59" s="53" t="s">
        <v>131</v>
      </c>
      <c r="Y59" s="53" t="s">
        <v>131</v>
      </c>
      <c r="Z59" s="7"/>
      <c r="AA59" s="7"/>
      <c r="AB59" s="7"/>
    </row>
    <row r="60" ht="17.25" customHeight="1">
      <c r="A60" s="9" t="s">
        <v>40</v>
      </c>
      <c r="B60" s="9" t="s">
        <v>1</v>
      </c>
      <c r="C60" s="9" t="s">
        <v>41</v>
      </c>
      <c r="D60" s="9" t="s">
        <v>2</v>
      </c>
      <c r="E60" s="9" t="s">
        <v>3</v>
      </c>
      <c r="F60" s="20"/>
      <c r="G60" s="9" t="s">
        <v>5</v>
      </c>
      <c r="H60" s="9" t="s">
        <v>6</v>
      </c>
      <c r="I60" s="9" t="s">
        <v>7</v>
      </c>
      <c r="J60" s="10" t="s">
        <v>8</v>
      </c>
      <c r="K60" s="7"/>
      <c r="L60" s="7"/>
      <c r="M60" s="7"/>
      <c r="N60" s="7"/>
      <c r="O60" s="7"/>
      <c r="P60" s="54">
        <v>4.0</v>
      </c>
      <c r="Q60" s="53" t="s">
        <v>134</v>
      </c>
      <c r="R60" s="54">
        <v>17682.0</v>
      </c>
      <c r="S60" s="54">
        <v>16854.81</v>
      </c>
      <c r="T60" s="54">
        <v>827.19</v>
      </c>
      <c r="U60" s="54">
        <v>51395.66</v>
      </c>
      <c r="V60" s="54">
        <v>34540.85</v>
      </c>
      <c r="W60" s="53" t="s">
        <v>133</v>
      </c>
      <c r="X60" s="53" t="s">
        <v>131</v>
      </c>
      <c r="Y60" s="53" t="s">
        <v>131</v>
      </c>
      <c r="Z60" s="7"/>
      <c r="AA60" s="7"/>
      <c r="AB60" s="7"/>
    </row>
    <row r="61" ht="17.25" customHeight="1">
      <c r="A61" s="12">
        <v>8.0</v>
      </c>
      <c r="B61" s="14" t="s">
        <v>52</v>
      </c>
      <c r="C61" s="7" t="s">
        <v>132</v>
      </c>
      <c r="D61" s="14" t="s">
        <v>10</v>
      </c>
      <c r="E61" s="14" t="s">
        <v>135</v>
      </c>
      <c r="F61" s="14" t="s">
        <v>12</v>
      </c>
      <c r="G61" s="14" t="s">
        <v>13</v>
      </c>
      <c r="H61" s="14" t="s">
        <v>90</v>
      </c>
      <c r="I61" s="16">
        <f>I62+I63</f>
        <v>17682</v>
      </c>
      <c r="J61" s="17">
        <v>100062.0</v>
      </c>
      <c r="K61" s="35">
        <v>100001.0</v>
      </c>
      <c r="L61" s="7"/>
      <c r="M61" s="7"/>
      <c r="N61" s="7"/>
      <c r="O61" s="7"/>
      <c r="P61" s="54">
        <v>5.0</v>
      </c>
      <c r="Q61" s="53" t="s">
        <v>136</v>
      </c>
      <c r="R61" s="54">
        <v>17682.0</v>
      </c>
      <c r="S61" s="54">
        <v>17144.01</v>
      </c>
      <c r="T61" s="54">
        <v>537.99</v>
      </c>
      <c r="U61" s="54">
        <v>34540.85</v>
      </c>
      <c r="V61" s="54">
        <v>17396.84</v>
      </c>
      <c r="W61" s="53" t="s">
        <v>133</v>
      </c>
      <c r="X61" s="53" t="s">
        <v>131</v>
      </c>
      <c r="Y61" s="53" t="s">
        <v>131</v>
      </c>
      <c r="Z61" s="7"/>
      <c r="AA61" s="7"/>
      <c r="AB61" s="7"/>
    </row>
    <row r="62" ht="17.25" customHeight="1">
      <c r="A62" s="12">
        <v>8.0</v>
      </c>
      <c r="B62" s="14" t="s">
        <v>52</v>
      </c>
      <c r="C62" s="18"/>
      <c r="D62" s="14" t="s">
        <v>10</v>
      </c>
      <c r="E62" s="15" t="s">
        <v>44</v>
      </c>
      <c r="F62" s="14" t="s">
        <v>12</v>
      </c>
      <c r="G62" s="14" t="s">
        <v>19</v>
      </c>
      <c r="H62" s="27"/>
      <c r="I62" s="16">
        <f>16622.59</f>
        <v>16622.59</v>
      </c>
      <c r="J62" s="17">
        <v>100031.0</v>
      </c>
      <c r="K62" s="35">
        <v>100001.0</v>
      </c>
      <c r="L62" s="7"/>
      <c r="M62" s="7"/>
      <c r="N62" s="7"/>
      <c r="O62" s="7"/>
      <c r="P62" s="54">
        <v>6.0</v>
      </c>
      <c r="Q62" s="53" t="s">
        <v>137</v>
      </c>
      <c r="R62" s="54">
        <v>17682.0</v>
      </c>
      <c r="S62" s="54">
        <v>17396.84</v>
      </c>
      <c r="T62" s="54">
        <v>285.16</v>
      </c>
      <c r="U62" s="54">
        <v>17396.84</v>
      </c>
      <c r="V62" s="54">
        <v>0.0</v>
      </c>
      <c r="W62" s="53" t="s">
        <v>133</v>
      </c>
      <c r="X62" s="54">
        <v>0.0</v>
      </c>
      <c r="Y62" s="53" t="s">
        <v>131</v>
      </c>
      <c r="Z62" s="7"/>
      <c r="AA62" s="7"/>
      <c r="AB62" s="7"/>
    </row>
    <row r="63" ht="17.25" customHeight="1">
      <c r="A63" s="12">
        <v>8.0</v>
      </c>
      <c r="B63" s="14" t="s">
        <v>52</v>
      </c>
      <c r="C63" s="18"/>
      <c r="D63" s="14" t="s">
        <v>10</v>
      </c>
      <c r="E63" s="14" t="s">
        <v>70</v>
      </c>
      <c r="F63" s="14" t="s">
        <v>12</v>
      </c>
      <c r="G63" s="14" t="s">
        <v>19</v>
      </c>
      <c r="H63" s="27"/>
      <c r="I63" s="16">
        <v>1059.41</v>
      </c>
      <c r="J63" s="17">
        <v>100034.0</v>
      </c>
      <c r="K63" s="35">
        <v>100001.0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7.25" customHeight="1">
      <c r="A64" s="7"/>
      <c r="B64" s="7"/>
      <c r="C64" s="7"/>
      <c r="D64" s="7"/>
      <c r="E64" s="7"/>
      <c r="F64" s="7"/>
      <c r="G64" s="7"/>
      <c r="H64" s="7"/>
      <c r="I64" s="19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7.25" customHeight="1">
      <c r="A65" s="7"/>
      <c r="B65" s="7"/>
      <c r="C65" s="7"/>
      <c r="D65" s="7"/>
      <c r="E65" s="7"/>
      <c r="F65" s="7"/>
      <c r="G65" s="7"/>
      <c r="H65" s="7"/>
      <c r="I65" s="19"/>
      <c r="J65" s="7"/>
      <c r="K65" s="7"/>
      <c r="L65" s="7"/>
      <c r="M65" s="7"/>
      <c r="N65" s="7"/>
      <c r="O65" s="7"/>
      <c r="P65" s="7"/>
      <c r="Q65" s="63" t="s">
        <v>138</v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7.25" customHeight="1">
      <c r="A66" s="7"/>
      <c r="B66" s="7"/>
      <c r="C66" s="30"/>
      <c r="D66" s="31" t="s">
        <v>57</v>
      </c>
      <c r="E66" s="32" t="s">
        <v>65</v>
      </c>
      <c r="F66" s="33"/>
      <c r="G66" s="7"/>
      <c r="H66" s="7"/>
      <c r="I66" s="7"/>
      <c r="J66" s="7"/>
      <c r="K66" s="7"/>
      <c r="L66" s="7"/>
      <c r="M66" s="7"/>
      <c r="N66" s="7"/>
      <c r="O66" s="7"/>
      <c r="P66" s="7"/>
      <c r="Q66" s="64"/>
      <c r="R66" s="65">
        <f>R62/2</f>
        <v>8841</v>
      </c>
      <c r="S66" s="65">
        <f>R66-T66</f>
        <v>8555.84</v>
      </c>
      <c r="T66" s="65">
        <v>285.16</v>
      </c>
      <c r="U66" s="65">
        <f>V61-S66-T66</f>
        <v>8555.84</v>
      </c>
      <c r="V66" s="7"/>
      <c r="W66" s="11"/>
      <c r="X66" s="7"/>
      <c r="Y66" s="7"/>
      <c r="Z66" s="7"/>
      <c r="AA66" s="7"/>
      <c r="AB66" s="7"/>
    </row>
    <row r="67" ht="17.25" customHeight="1">
      <c r="A67" s="9" t="s">
        <v>40</v>
      </c>
      <c r="B67" s="9" t="s">
        <v>1</v>
      </c>
      <c r="C67" s="9" t="s">
        <v>41</v>
      </c>
      <c r="D67" s="9" t="s">
        <v>2</v>
      </c>
      <c r="E67" s="9" t="s">
        <v>3</v>
      </c>
      <c r="F67" s="20"/>
      <c r="G67" s="9" t="s">
        <v>5</v>
      </c>
      <c r="H67" s="9" t="s">
        <v>6</v>
      </c>
      <c r="I67" s="9" t="s">
        <v>7</v>
      </c>
      <c r="J67" s="10" t="s">
        <v>8</v>
      </c>
      <c r="K67" s="7"/>
      <c r="L67" s="7"/>
      <c r="M67" s="7"/>
      <c r="N67" s="7"/>
      <c r="O67" s="7"/>
      <c r="P67" s="7"/>
      <c r="Q67" s="64"/>
      <c r="R67" s="65">
        <f>S67-T66-U67</f>
        <v>8337.841885</v>
      </c>
      <c r="S67" s="65">
        <f>S62-S66</f>
        <v>8841</v>
      </c>
      <c r="T67" s="65"/>
      <c r="U67" s="65">
        <f>U66*30%/365*31</f>
        <v>217.9981151</v>
      </c>
      <c r="V67" s="7"/>
      <c r="W67" s="7"/>
      <c r="X67" s="7"/>
      <c r="Y67" s="7"/>
      <c r="Z67" s="7"/>
      <c r="AA67" s="7"/>
      <c r="AB67" s="7"/>
    </row>
    <row r="68" ht="17.25" customHeight="1">
      <c r="A68" s="12">
        <v>9.0</v>
      </c>
      <c r="B68" s="14" t="s">
        <v>66</v>
      </c>
      <c r="C68" s="14" t="s">
        <v>139</v>
      </c>
      <c r="D68" s="14" t="s">
        <v>10</v>
      </c>
      <c r="E68" s="15" t="s">
        <v>68</v>
      </c>
      <c r="F68" s="14" t="s">
        <v>18</v>
      </c>
      <c r="G68" s="14" t="s">
        <v>19</v>
      </c>
      <c r="H68" s="14" t="s">
        <v>69</v>
      </c>
      <c r="I68" s="16">
        <f>X51</f>
        <v>1077.460953</v>
      </c>
      <c r="J68" s="17">
        <v>300000.0</v>
      </c>
      <c r="K68" s="36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7.25" customHeight="1">
      <c r="A69" s="12">
        <v>9.0</v>
      </c>
      <c r="B69" s="14" t="s">
        <v>66</v>
      </c>
      <c r="C69" s="13" t="str">
        <f>C68</f>
        <v>31-05-2025</v>
      </c>
      <c r="D69" s="14" t="s">
        <v>10</v>
      </c>
      <c r="E69" s="14" t="s">
        <v>70</v>
      </c>
      <c r="F69" s="14" t="s">
        <v>12</v>
      </c>
      <c r="G69" s="14" t="s">
        <v>13</v>
      </c>
      <c r="H69" s="14" t="s">
        <v>69</v>
      </c>
      <c r="I69" s="16">
        <f>I68</f>
        <v>1077.460953</v>
      </c>
      <c r="J69" s="17">
        <v>100034.0</v>
      </c>
      <c r="K69" s="36"/>
      <c r="L69" s="7"/>
      <c r="M69" s="7"/>
      <c r="N69" s="7"/>
      <c r="O69" s="7"/>
      <c r="P69" s="7"/>
      <c r="Q69" s="8" t="s">
        <v>140</v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7.25" customHeight="1">
      <c r="A70" s="7"/>
      <c r="B70" s="7"/>
      <c r="C70" s="18"/>
      <c r="D70" s="7"/>
      <c r="E70" s="7"/>
      <c r="F70" s="7"/>
      <c r="G70" s="7"/>
      <c r="H70" s="7"/>
      <c r="I70" s="19"/>
      <c r="J70" s="7"/>
      <c r="K70" s="7"/>
      <c r="L70" s="7"/>
      <c r="M70" s="7"/>
      <c r="N70" s="7"/>
      <c r="O70" s="7"/>
      <c r="P70" s="7"/>
      <c r="Q70" s="64"/>
      <c r="R70" s="66">
        <f>S70+T70</f>
        <v>17396.84</v>
      </c>
      <c r="S70" s="66">
        <v>17396.84</v>
      </c>
      <c r="T70" s="67">
        <v>0.0</v>
      </c>
      <c r="U70" s="64"/>
      <c r="V70" s="7"/>
      <c r="W70" s="7"/>
      <c r="X70" s="7"/>
      <c r="Y70" s="7"/>
      <c r="Z70" s="7"/>
      <c r="AA70" s="7"/>
      <c r="AB70" s="7"/>
    </row>
    <row r="71" ht="17.25" customHeight="1">
      <c r="A71" s="7"/>
      <c r="B71" s="7"/>
      <c r="C71" s="18"/>
      <c r="D71" s="7"/>
      <c r="E71" s="7"/>
      <c r="F71" s="7"/>
      <c r="G71" s="7"/>
      <c r="H71" s="7"/>
      <c r="I71" s="19"/>
      <c r="J71" s="7"/>
      <c r="K71" s="7"/>
      <c r="L71" s="7"/>
      <c r="M71" s="7"/>
      <c r="N71" s="7"/>
      <c r="O71" s="7"/>
      <c r="P71" s="7"/>
      <c r="Q71" s="7"/>
      <c r="R71" s="7">
        <f>R62-R70</f>
        <v>285.16</v>
      </c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7.25" customHeight="1">
      <c r="A72" s="9" t="s">
        <v>40</v>
      </c>
      <c r="B72" s="9" t="s">
        <v>1</v>
      </c>
      <c r="C72" s="9" t="s">
        <v>41</v>
      </c>
      <c r="D72" s="9" t="s">
        <v>2</v>
      </c>
      <c r="E72" s="9" t="s">
        <v>3</v>
      </c>
      <c r="F72" s="20"/>
      <c r="G72" s="9" t="s">
        <v>5</v>
      </c>
      <c r="H72" s="9" t="s">
        <v>6</v>
      </c>
      <c r="I72" s="9" t="s">
        <v>7</v>
      </c>
      <c r="J72" s="10" t="s">
        <v>8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7.25" customHeight="1">
      <c r="A73" s="12">
        <v>10.0</v>
      </c>
      <c r="B73" s="14" t="s">
        <v>52</v>
      </c>
      <c r="C73" s="7" t="s">
        <v>134</v>
      </c>
      <c r="D73" s="14" t="s">
        <v>10</v>
      </c>
      <c r="E73" s="14" t="s">
        <v>135</v>
      </c>
      <c r="F73" s="14" t="s">
        <v>12</v>
      </c>
      <c r="G73" s="14" t="s">
        <v>13</v>
      </c>
      <c r="H73" s="14" t="s">
        <v>90</v>
      </c>
      <c r="I73" s="16">
        <f>I74+I75</f>
        <v>17682</v>
      </c>
      <c r="J73" s="17">
        <v>100062.0</v>
      </c>
      <c r="K73" s="35">
        <v>100001.0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7.25" customHeight="1">
      <c r="A74" s="12">
        <v>10.0</v>
      </c>
      <c r="B74" s="14" t="s">
        <v>52</v>
      </c>
      <c r="C74" s="18"/>
      <c r="D74" s="14" t="s">
        <v>10</v>
      </c>
      <c r="E74" s="15" t="s">
        <v>44</v>
      </c>
      <c r="F74" s="14" t="s">
        <v>12</v>
      </c>
      <c r="G74" s="14" t="s">
        <v>19</v>
      </c>
      <c r="H74" s="27"/>
      <c r="I74" s="16">
        <f>17682-I75</f>
        <v>16854.81</v>
      </c>
      <c r="J74" s="17">
        <v>100031.0</v>
      </c>
      <c r="K74" s="35">
        <v>100001.0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7.25" customHeight="1">
      <c r="A75" s="12">
        <v>10.0</v>
      </c>
      <c r="B75" s="14" t="s">
        <v>52</v>
      </c>
      <c r="C75" s="18"/>
      <c r="D75" s="14" t="s">
        <v>10</v>
      </c>
      <c r="E75" s="14" t="s">
        <v>70</v>
      </c>
      <c r="F75" s="14" t="s">
        <v>12</v>
      </c>
      <c r="G75" s="14" t="s">
        <v>19</v>
      </c>
      <c r="H75" s="27"/>
      <c r="I75" s="16">
        <v>827.19</v>
      </c>
      <c r="J75" s="17">
        <v>100034.0</v>
      </c>
      <c r="K75" s="35">
        <v>100001.0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7.25" customHeight="1">
      <c r="A76" s="7"/>
      <c r="B76" s="7"/>
      <c r="C76" s="7"/>
      <c r="D76" s="7"/>
      <c r="E76" s="7"/>
      <c r="F76" s="7"/>
      <c r="G76" s="7"/>
      <c r="H76" s="7"/>
      <c r="I76" s="19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7.25" customHeight="1">
      <c r="A77" s="7"/>
      <c r="B77" s="7"/>
      <c r="C77" s="7"/>
      <c r="D77" s="7"/>
      <c r="E77" s="7"/>
      <c r="F77" s="7"/>
      <c r="G77" s="7"/>
      <c r="H77" s="7"/>
      <c r="I77" s="19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7.25" customHeight="1">
      <c r="A78" s="7"/>
      <c r="B78" s="7"/>
      <c r="C78" s="30"/>
      <c r="D78" s="31" t="s">
        <v>57</v>
      </c>
      <c r="E78" s="32" t="s">
        <v>65</v>
      </c>
      <c r="F78" s="33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7.25" customHeight="1">
      <c r="A79" s="9" t="s">
        <v>40</v>
      </c>
      <c r="B79" s="9" t="s">
        <v>1</v>
      </c>
      <c r="C79" s="9" t="s">
        <v>41</v>
      </c>
      <c r="D79" s="9" t="s">
        <v>2</v>
      </c>
      <c r="E79" s="9" t="s">
        <v>3</v>
      </c>
      <c r="F79" s="20"/>
      <c r="G79" s="9" t="s">
        <v>5</v>
      </c>
      <c r="H79" s="9" t="s">
        <v>6</v>
      </c>
      <c r="I79" s="9" t="s">
        <v>7</v>
      </c>
      <c r="J79" s="10" t="s">
        <v>8</v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7.25" customHeight="1">
      <c r="A80" s="12">
        <v>11.0</v>
      </c>
      <c r="B80" s="14" t="s">
        <v>66</v>
      </c>
      <c r="C80" s="14" t="s">
        <v>134</v>
      </c>
      <c r="D80" s="14" t="s">
        <v>10</v>
      </c>
      <c r="E80" s="15" t="s">
        <v>68</v>
      </c>
      <c r="F80" s="14" t="s">
        <v>18</v>
      </c>
      <c r="G80" s="14" t="s">
        <v>19</v>
      </c>
      <c r="H80" s="14" t="s">
        <v>69</v>
      </c>
      <c r="I80" s="16">
        <f>X52</f>
        <v>791.7543578</v>
      </c>
      <c r="J80" s="17">
        <v>300000.0</v>
      </c>
      <c r="K80" s="36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7.25" customHeight="1">
      <c r="A81" s="12">
        <v>11.0</v>
      </c>
      <c r="B81" s="14" t="s">
        <v>66</v>
      </c>
      <c r="C81" s="13" t="str">
        <f>C80</f>
        <v>30-06-2025</v>
      </c>
      <c r="D81" s="14" t="s">
        <v>10</v>
      </c>
      <c r="E81" s="14" t="s">
        <v>70</v>
      </c>
      <c r="F81" s="14" t="s">
        <v>12</v>
      </c>
      <c r="G81" s="14" t="s">
        <v>13</v>
      </c>
      <c r="H81" s="14" t="s">
        <v>69</v>
      </c>
      <c r="I81" s="16">
        <f>I80</f>
        <v>791.7543578</v>
      </c>
      <c r="J81" s="17">
        <v>100034.0</v>
      </c>
      <c r="K81" s="36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7.25" customHeight="1">
      <c r="A82" s="7"/>
      <c r="B82" s="7"/>
      <c r="C82" s="18"/>
      <c r="D82" s="7"/>
      <c r="E82" s="7"/>
      <c r="F82" s="7"/>
      <c r="G82" s="7"/>
      <c r="H82" s="7"/>
      <c r="I82" s="19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7.25" customHeight="1">
      <c r="A83" s="7"/>
      <c r="B83" s="7"/>
      <c r="C83" s="18"/>
      <c r="D83" s="7"/>
      <c r="E83" s="7"/>
      <c r="F83" s="7"/>
      <c r="G83" s="7"/>
      <c r="H83" s="7"/>
      <c r="I83" s="19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7.25" customHeight="1">
      <c r="A84" s="9" t="s">
        <v>40</v>
      </c>
      <c r="B84" s="9" t="s">
        <v>1</v>
      </c>
      <c r="C84" s="9" t="s">
        <v>41</v>
      </c>
      <c r="D84" s="9" t="s">
        <v>2</v>
      </c>
      <c r="E84" s="9" t="s">
        <v>3</v>
      </c>
      <c r="F84" s="20"/>
      <c r="G84" s="9" t="s">
        <v>5</v>
      </c>
      <c r="H84" s="9" t="s">
        <v>6</v>
      </c>
      <c r="I84" s="9" t="s">
        <v>7</v>
      </c>
      <c r="J84" s="10" t="s">
        <v>8</v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7.25" customHeight="1">
      <c r="A85" s="12">
        <v>12.0</v>
      </c>
      <c r="B85" s="14" t="s">
        <v>52</v>
      </c>
      <c r="C85" s="7" t="s">
        <v>141</v>
      </c>
      <c r="D85" s="14" t="s">
        <v>10</v>
      </c>
      <c r="E85" s="14" t="s">
        <v>135</v>
      </c>
      <c r="F85" s="14" t="s">
        <v>12</v>
      </c>
      <c r="G85" s="14" t="s">
        <v>13</v>
      </c>
      <c r="H85" s="14" t="s">
        <v>90</v>
      </c>
      <c r="I85" s="16">
        <f>I86+I87</f>
        <v>17682</v>
      </c>
      <c r="J85" s="17">
        <v>100062.0</v>
      </c>
      <c r="K85" s="35">
        <v>100001.0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7.25" customHeight="1">
      <c r="A86" s="12">
        <v>12.0</v>
      </c>
      <c r="B86" s="14" t="s">
        <v>52</v>
      </c>
      <c r="C86" s="18"/>
      <c r="D86" s="14" t="s">
        <v>10</v>
      </c>
      <c r="E86" s="15" t="s">
        <v>44</v>
      </c>
      <c r="F86" s="14" t="s">
        <v>12</v>
      </c>
      <c r="G86" s="14" t="s">
        <v>19</v>
      </c>
      <c r="H86" s="27"/>
      <c r="I86" s="16">
        <f>17682-I87</f>
        <v>17144.01</v>
      </c>
      <c r="J86" s="17">
        <v>100031.0</v>
      </c>
      <c r="K86" s="35">
        <v>100001.0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7.25" customHeight="1">
      <c r="A87" s="12">
        <v>12.0</v>
      </c>
      <c r="B87" s="14" t="s">
        <v>52</v>
      </c>
      <c r="C87" s="18"/>
      <c r="D87" s="14" t="s">
        <v>10</v>
      </c>
      <c r="E87" s="14" t="s">
        <v>70</v>
      </c>
      <c r="F87" s="14" t="s">
        <v>12</v>
      </c>
      <c r="G87" s="14" t="s">
        <v>19</v>
      </c>
      <c r="H87" s="27"/>
      <c r="I87" s="16">
        <v>537.99</v>
      </c>
      <c r="J87" s="17">
        <v>100034.0</v>
      </c>
      <c r="K87" s="35">
        <v>100001.0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7.25" customHeight="1">
      <c r="A88" s="7"/>
      <c r="B88" s="7"/>
      <c r="C88" s="7"/>
      <c r="D88" s="7"/>
      <c r="E88" s="7"/>
      <c r="F88" s="7"/>
      <c r="G88" s="7"/>
      <c r="H88" s="7"/>
      <c r="I88" s="19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7.25" customHeight="1">
      <c r="A89" s="7"/>
      <c r="B89" s="7"/>
      <c r="C89" s="7"/>
      <c r="D89" s="7"/>
      <c r="E89" s="7"/>
      <c r="F89" s="7"/>
      <c r="G89" s="7"/>
      <c r="H89" s="7"/>
      <c r="I89" s="19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7.25" customHeight="1">
      <c r="A90" s="7"/>
      <c r="B90" s="7"/>
      <c r="C90" s="30"/>
      <c r="D90" s="31" t="s">
        <v>57</v>
      </c>
      <c r="E90" s="32" t="s">
        <v>65</v>
      </c>
      <c r="F90" s="33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7.25" customHeight="1">
      <c r="A91" s="9" t="s">
        <v>40</v>
      </c>
      <c r="B91" s="9" t="s">
        <v>1</v>
      </c>
      <c r="C91" s="9" t="s">
        <v>41</v>
      </c>
      <c r="D91" s="9" t="s">
        <v>2</v>
      </c>
      <c r="E91" s="9" t="s">
        <v>3</v>
      </c>
      <c r="F91" s="20"/>
      <c r="G91" s="9" t="s">
        <v>5</v>
      </c>
      <c r="H91" s="9" t="s">
        <v>6</v>
      </c>
      <c r="I91" s="9" t="s">
        <v>7</v>
      </c>
      <c r="J91" s="10" t="s">
        <v>8</v>
      </c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7.25" customHeight="1">
      <c r="A92" s="12">
        <v>13.0</v>
      </c>
      <c r="B92" s="14" t="s">
        <v>66</v>
      </c>
      <c r="C92" s="14" t="s">
        <v>141</v>
      </c>
      <c r="D92" s="14" t="s">
        <v>10</v>
      </c>
      <c r="E92" s="15" t="s">
        <v>68</v>
      </c>
      <c r="F92" s="14" t="s">
        <v>18</v>
      </c>
      <c r="G92" s="14" t="s">
        <v>19</v>
      </c>
      <c r="H92" s="14" t="s">
        <v>69</v>
      </c>
      <c r="I92" s="16">
        <f>X53</f>
        <v>538.1168316</v>
      </c>
      <c r="J92" s="17">
        <v>300000.0</v>
      </c>
      <c r="K92" s="36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7.25" customHeight="1">
      <c r="A93" s="12">
        <v>13.0</v>
      </c>
      <c r="B93" s="14" t="s">
        <v>66</v>
      </c>
      <c r="C93" s="13" t="str">
        <f>C92</f>
        <v>31-07-2025</v>
      </c>
      <c r="D93" s="14" t="s">
        <v>10</v>
      </c>
      <c r="E93" s="14" t="s">
        <v>70</v>
      </c>
      <c r="F93" s="14" t="s">
        <v>12</v>
      </c>
      <c r="G93" s="14" t="s">
        <v>13</v>
      </c>
      <c r="H93" s="14" t="s">
        <v>69</v>
      </c>
      <c r="I93" s="16">
        <f>I92</f>
        <v>538.1168316</v>
      </c>
      <c r="J93" s="17">
        <v>100034.0</v>
      </c>
      <c r="K93" s="36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7.25" customHeight="1">
      <c r="A94" s="7"/>
      <c r="B94" s="7"/>
      <c r="C94" s="18"/>
      <c r="D94" s="7"/>
      <c r="E94" s="7"/>
      <c r="F94" s="7"/>
      <c r="G94" s="7"/>
      <c r="H94" s="7"/>
      <c r="I94" s="19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7.25" customHeight="1">
      <c r="A95" s="7"/>
      <c r="B95" s="7"/>
      <c r="C95" s="18"/>
      <c r="D95" s="7"/>
      <c r="E95" s="7"/>
      <c r="F95" s="7"/>
      <c r="G95" s="7"/>
      <c r="H95" s="7"/>
      <c r="I95" s="19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7.25" customHeight="1">
      <c r="A96" s="9" t="s">
        <v>40</v>
      </c>
      <c r="B96" s="9" t="s">
        <v>1</v>
      </c>
      <c r="C96" s="9" t="s">
        <v>41</v>
      </c>
      <c r="D96" s="9" t="s">
        <v>2</v>
      </c>
      <c r="E96" s="9" t="s">
        <v>3</v>
      </c>
      <c r="F96" s="20"/>
      <c r="G96" s="9" t="s">
        <v>5</v>
      </c>
      <c r="H96" s="9" t="s">
        <v>6</v>
      </c>
      <c r="I96" s="9" t="s">
        <v>7</v>
      </c>
      <c r="J96" s="10" t="s">
        <v>8</v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7.25" customHeight="1">
      <c r="A97" s="12">
        <v>14.0</v>
      </c>
      <c r="B97" s="14" t="s">
        <v>52</v>
      </c>
      <c r="C97" s="7" t="s">
        <v>137</v>
      </c>
      <c r="D97" s="14" t="s">
        <v>10</v>
      </c>
      <c r="E97" s="14" t="s">
        <v>135</v>
      </c>
      <c r="F97" s="14" t="s">
        <v>12</v>
      </c>
      <c r="G97" s="14" t="s">
        <v>13</v>
      </c>
      <c r="H97" s="14" t="s">
        <v>90</v>
      </c>
      <c r="I97" s="16">
        <f>I98+I99</f>
        <v>17682</v>
      </c>
      <c r="J97" s="17">
        <v>100062.0</v>
      </c>
      <c r="K97" s="35">
        <v>100001.0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7.25" customHeight="1">
      <c r="A98" s="12">
        <v>14.0</v>
      </c>
      <c r="B98" s="14" t="s">
        <v>52</v>
      </c>
      <c r="C98" s="18"/>
      <c r="D98" s="14" t="s">
        <v>10</v>
      </c>
      <c r="E98" s="15" t="s">
        <v>44</v>
      </c>
      <c r="F98" s="14" t="s">
        <v>12</v>
      </c>
      <c r="G98" s="14" t="s">
        <v>19</v>
      </c>
      <c r="H98" s="27"/>
      <c r="I98" s="16">
        <f>17682-I99</f>
        <v>17396.84</v>
      </c>
      <c r="J98" s="17">
        <v>100031.0</v>
      </c>
      <c r="K98" s="35">
        <v>100001.0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7.25" customHeight="1">
      <c r="A99" s="12">
        <v>14.0</v>
      </c>
      <c r="B99" s="14" t="s">
        <v>52</v>
      </c>
      <c r="C99" s="18"/>
      <c r="D99" s="14" t="s">
        <v>10</v>
      </c>
      <c r="E99" s="14" t="s">
        <v>70</v>
      </c>
      <c r="F99" s="14" t="s">
        <v>12</v>
      </c>
      <c r="G99" s="14" t="s">
        <v>19</v>
      </c>
      <c r="H99" s="27"/>
      <c r="I99" s="16">
        <v>285.16</v>
      </c>
      <c r="J99" s="17">
        <v>100034.0</v>
      </c>
      <c r="K99" s="35">
        <v>100001.0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7.25" customHeight="1">
      <c r="A100" s="7"/>
      <c r="B100" s="7"/>
      <c r="C100" s="7"/>
      <c r="D100" s="7"/>
      <c r="E100" s="7"/>
      <c r="F100" s="7"/>
      <c r="G100" s="7"/>
      <c r="H100" s="7"/>
      <c r="I100" s="19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7.25" customHeight="1">
      <c r="A101" s="7"/>
      <c r="B101" s="7"/>
      <c r="C101" s="7"/>
      <c r="D101" s="7"/>
      <c r="E101" s="7"/>
      <c r="F101" s="7"/>
      <c r="G101" s="7"/>
      <c r="H101" s="7"/>
      <c r="I101" s="19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7.25" customHeight="1">
      <c r="A102" s="7"/>
      <c r="B102" s="7"/>
      <c r="C102" s="30"/>
      <c r="D102" s="31" t="s">
        <v>57</v>
      </c>
      <c r="E102" s="32" t="s">
        <v>65</v>
      </c>
      <c r="F102" s="33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7.25" customHeight="1">
      <c r="A103" s="9" t="s">
        <v>40</v>
      </c>
      <c r="B103" s="9" t="s">
        <v>1</v>
      </c>
      <c r="C103" s="9" t="s">
        <v>41</v>
      </c>
      <c r="D103" s="9" t="s">
        <v>2</v>
      </c>
      <c r="E103" s="9" t="s">
        <v>3</v>
      </c>
      <c r="F103" s="20"/>
      <c r="G103" s="9" t="s">
        <v>5</v>
      </c>
      <c r="H103" s="9" t="s">
        <v>6</v>
      </c>
      <c r="I103" s="9" t="s">
        <v>7</v>
      </c>
      <c r="J103" s="10" t="s">
        <v>8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7.25" customHeight="1">
      <c r="A104" s="12">
        <v>15.0</v>
      </c>
      <c r="B104" s="14" t="s">
        <v>66</v>
      </c>
      <c r="C104" s="14" t="s">
        <v>142</v>
      </c>
      <c r="D104" s="14" t="s">
        <v>10</v>
      </c>
      <c r="E104" s="15" t="s">
        <v>68</v>
      </c>
      <c r="F104" s="14" t="s">
        <v>18</v>
      </c>
      <c r="G104" s="14" t="s">
        <v>19</v>
      </c>
      <c r="H104" s="14" t="s">
        <v>69</v>
      </c>
      <c r="I104" s="16">
        <f>X54</f>
        <v>261.9296828</v>
      </c>
      <c r="J104" s="17">
        <v>300000.0</v>
      </c>
      <c r="K104" s="36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7.25" customHeight="1">
      <c r="A105" s="12">
        <v>15.0</v>
      </c>
      <c r="B105" s="14" t="s">
        <v>66</v>
      </c>
      <c r="C105" s="13" t="str">
        <f>C104</f>
        <v>31-08-2025</v>
      </c>
      <c r="D105" s="14" t="s">
        <v>10</v>
      </c>
      <c r="E105" s="14" t="s">
        <v>70</v>
      </c>
      <c r="F105" s="14" t="s">
        <v>12</v>
      </c>
      <c r="G105" s="14" t="s">
        <v>13</v>
      </c>
      <c r="H105" s="14" t="s">
        <v>69</v>
      </c>
      <c r="I105" s="16">
        <f>I104</f>
        <v>261.9296828</v>
      </c>
      <c r="J105" s="17">
        <v>100034.0</v>
      </c>
      <c r="K105" s="36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7.25" customHeight="1">
      <c r="A106" s="7"/>
      <c r="B106" s="7"/>
      <c r="C106" s="18"/>
      <c r="D106" s="7"/>
      <c r="E106" s="7"/>
      <c r="F106" s="7"/>
      <c r="G106" s="7"/>
      <c r="H106" s="7"/>
      <c r="I106" s="19"/>
      <c r="J106" s="7"/>
      <c r="K106" s="68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7.25" customHeight="1">
      <c r="A107" s="7"/>
      <c r="B107" s="7"/>
      <c r="C107" s="18"/>
      <c r="D107" s="7"/>
      <c r="E107" s="7"/>
      <c r="F107" s="7"/>
      <c r="G107" s="7"/>
      <c r="H107" s="7"/>
      <c r="I107" s="19"/>
      <c r="J107" s="7"/>
      <c r="K107" s="68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7.25" customHeight="1">
      <c r="A108" s="7"/>
      <c r="B108" s="8" t="s">
        <v>143</v>
      </c>
      <c r="C108" s="69" t="s">
        <v>144</v>
      </c>
      <c r="D108" s="7"/>
      <c r="E108" s="7"/>
      <c r="F108" s="7"/>
      <c r="G108" s="7"/>
      <c r="H108" s="7"/>
      <c r="I108" s="19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7.25" customHeight="1">
      <c r="A109" s="9" t="s">
        <v>40</v>
      </c>
      <c r="B109" s="9" t="s">
        <v>1</v>
      </c>
      <c r="C109" s="9" t="s">
        <v>41</v>
      </c>
      <c r="D109" s="9" t="s">
        <v>2</v>
      </c>
      <c r="E109" s="9" t="s">
        <v>3</v>
      </c>
      <c r="F109" s="20"/>
      <c r="G109" s="9" t="s">
        <v>5</v>
      </c>
      <c r="H109" s="9" t="s">
        <v>6</v>
      </c>
      <c r="I109" s="9" t="s">
        <v>7</v>
      </c>
      <c r="J109" s="10" t="s">
        <v>8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7.25" customHeight="1">
      <c r="A110" s="70">
        <v>14.1</v>
      </c>
      <c r="B110" s="14" t="s">
        <v>52</v>
      </c>
      <c r="C110" s="7" t="s">
        <v>145</v>
      </c>
      <c r="D110" s="14" t="s">
        <v>10</v>
      </c>
      <c r="E110" s="14" t="s">
        <v>135</v>
      </c>
      <c r="F110" s="14" t="s">
        <v>12</v>
      </c>
      <c r="G110" s="14" t="s">
        <v>13</v>
      </c>
      <c r="H110" s="14"/>
      <c r="I110" s="16">
        <f>I111+I112+I113</f>
        <v>18125.26195</v>
      </c>
      <c r="J110" s="17">
        <v>100062.0</v>
      </c>
      <c r="K110" s="35">
        <v>100001.0</v>
      </c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7.25" customHeight="1">
      <c r="A111" s="70">
        <v>14.1</v>
      </c>
      <c r="B111" s="14" t="s">
        <v>52</v>
      </c>
      <c r="C111" s="7"/>
      <c r="D111" s="14" t="s">
        <v>10</v>
      </c>
      <c r="E111" s="15" t="s">
        <v>44</v>
      </c>
      <c r="F111" s="14" t="s">
        <v>12</v>
      </c>
      <c r="G111" s="14" t="s">
        <v>19</v>
      </c>
      <c r="H111" s="27"/>
      <c r="I111" s="16">
        <v>17396.84</v>
      </c>
      <c r="J111" s="17">
        <v>100031.0</v>
      </c>
      <c r="K111" s="35">
        <v>100001.0</v>
      </c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7.25" customHeight="1">
      <c r="A112" s="70">
        <v>14.1</v>
      </c>
      <c r="B112" s="14" t="s">
        <v>52</v>
      </c>
      <c r="C112" s="7"/>
      <c r="D112" s="14" t="s">
        <v>10</v>
      </c>
      <c r="E112" s="15" t="s">
        <v>146</v>
      </c>
      <c r="F112" s="14" t="s">
        <v>12</v>
      </c>
      <c r="G112" s="14" t="s">
        <v>19</v>
      </c>
      <c r="H112" s="27"/>
      <c r="I112" s="16">
        <v>285.16</v>
      </c>
      <c r="J112" s="17">
        <v>100034.0</v>
      </c>
      <c r="K112" s="35">
        <v>100001.0</v>
      </c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7.25" customHeight="1">
      <c r="A113" s="70">
        <v>14.1</v>
      </c>
      <c r="B113" s="14" t="s">
        <v>52</v>
      </c>
      <c r="C113" s="7"/>
      <c r="D113" s="14" t="s">
        <v>10</v>
      </c>
      <c r="E113" s="71" t="s">
        <v>68</v>
      </c>
      <c r="F113" s="72" t="s">
        <v>18</v>
      </c>
      <c r="G113" s="72" t="s">
        <v>19</v>
      </c>
      <c r="H113" s="73"/>
      <c r="I113" s="74">
        <f>V61*30%/365*31</f>
        <v>443.2619507</v>
      </c>
      <c r="J113" s="17">
        <v>300000.0</v>
      </c>
      <c r="K113" s="35">
        <v>100001.0</v>
      </c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7.25" customHeight="1">
      <c r="A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7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7.25" customHeight="1">
      <c r="A116" s="7"/>
      <c r="B116" s="8" t="s">
        <v>147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7.25" customHeight="1">
      <c r="A117" s="75" t="s">
        <v>40</v>
      </c>
      <c r="B117" s="76" t="s">
        <v>1</v>
      </c>
      <c r="C117" s="76" t="s">
        <v>41</v>
      </c>
      <c r="D117" s="76" t="s">
        <v>2</v>
      </c>
      <c r="E117" s="76" t="s">
        <v>3</v>
      </c>
      <c r="F117" s="77"/>
      <c r="G117" s="76" t="s">
        <v>5</v>
      </c>
      <c r="H117" s="76" t="s">
        <v>6</v>
      </c>
      <c r="I117" s="76" t="s">
        <v>7</v>
      </c>
      <c r="J117" s="10" t="s">
        <v>8</v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7.25" customHeight="1">
      <c r="A118" s="78">
        <v>14.2</v>
      </c>
      <c r="B118" s="14" t="s">
        <v>52</v>
      </c>
      <c r="C118" s="7" t="s">
        <v>137</v>
      </c>
      <c r="D118" s="14" t="s">
        <v>10</v>
      </c>
      <c r="E118" s="14" t="s">
        <v>135</v>
      </c>
      <c r="F118" s="14" t="s">
        <v>12</v>
      </c>
      <c r="G118" s="14" t="s">
        <v>13</v>
      </c>
      <c r="H118" s="14" t="s">
        <v>90</v>
      </c>
      <c r="I118" s="16">
        <f>R62/2</f>
        <v>8841</v>
      </c>
      <c r="J118" s="17">
        <v>100062.0</v>
      </c>
      <c r="K118" s="35">
        <v>100001.0</v>
      </c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7.25" customHeight="1">
      <c r="A119" s="78">
        <v>14.2</v>
      </c>
      <c r="B119" s="14" t="s">
        <v>52</v>
      </c>
      <c r="C119" s="7"/>
      <c r="D119" s="14" t="s">
        <v>10</v>
      </c>
      <c r="E119" s="15" t="s">
        <v>44</v>
      </c>
      <c r="F119" s="14" t="s">
        <v>12</v>
      </c>
      <c r="G119" s="14" t="s">
        <v>19</v>
      </c>
      <c r="H119" s="27"/>
      <c r="I119" s="16">
        <f>I118-I120</f>
        <v>8555.84</v>
      </c>
      <c r="J119" s="17">
        <v>100031.0</v>
      </c>
      <c r="K119" s="35">
        <v>100001.0</v>
      </c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7.25" customHeight="1">
      <c r="A120" s="78">
        <v>14.2</v>
      </c>
      <c r="B120" s="14" t="s">
        <v>52</v>
      </c>
      <c r="C120" s="7"/>
      <c r="D120" s="14" t="s">
        <v>10</v>
      </c>
      <c r="E120" s="14" t="s">
        <v>70</v>
      </c>
      <c r="F120" s="14" t="s">
        <v>12</v>
      </c>
      <c r="G120" s="14" t="s">
        <v>19</v>
      </c>
      <c r="H120" s="27"/>
      <c r="I120" s="16">
        <v>285.16</v>
      </c>
      <c r="J120" s="17">
        <v>100034.0</v>
      </c>
      <c r="K120" s="35">
        <v>100001.0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7.25" customHeight="1">
      <c r="A121" s="79"/>
      <c r="B121" s="7"/>
      <c r="C121" s="7"/>
      <c r="D121" s="7"/>
      <c r="E121" s="7"/>
      <c r="F121" s="7"/>
      <c r="G121" s="7"/>
      <c r="H121" s="7"/>
      <c r="I121" s="7"/>
      <c r="J121" s="80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7.25" customHeight="1">
      <c r="A122" s="79"/>
      <c r="B122" s="8" t="s">
        <v>148</v>
      </c>
      <c r="C122" s="7"/>
      <c r="E122" s="69" t="s">
        <v>149</v>
      </c>
      <c r="F122" s="7"/>
      <c r="G122" s="7"/>
      <c r="H122" s="7"/>
      <c r="I122" s="7"/>
      <c r="J122" s="80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7.25" customHeight="1">
      <c r="A123" s="81" t="s">
        <v>40</v>
      </c>
      <c r="B123" s="9" t="s">
        <v>1</v>
      </c>
      <c r="C123" s="9" t="s">
        <v>41</v>
      </c>
      <c r="D123" s="9" t="s">
        <v>2</v>
      </c>
      <c r="E123" s="9" t="s">
        <v>3</v>
      </c>
      <c r="F123" s="20"/>
      <c r="G123" s="9" t="s">
        <v>5</v>
      </c>
      <c r="H123" s="9" t="s">
        <v>6</v>
      </c>
      <c r="I123" s="9" t="s">
        <v>7</v>
      </c>
      <c r="J123" s="10" t="s">
        <v>8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7.25" customHeight="1">
      <c r="A124" s="78">
        <v>14.3</v>
      </c>
      <c r="B124" s="14" t="s">
        <v>52</v>
      </c>
      <c r="C124" s="7" t="s">
        <v>145</v>
      </c>
      <c r="D124" s="14" t="s">
        <v>10</v>
      </c>
      <c r="E124" s="14" t="s">
        <v>135</v>
      </c>
      <c r="F124" s="14" t="s">
        <v>12</v>
      </c>
      <c r="G124" s="14" t="s">
        <v>13</v>
      </c>
      <c r="H124" s="14" t="s">
        <v>90</v>
      </c>
      <c r="I124" s="16">
        <f>I125-I126-I127</f>
        <v>8337.841885</v>
      </c>
      <c r="J124" s="17">
        <v>100062.0</v>
      </c>
      <c r="K124" s="35">
        <v>100001.0</v>
      </c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7.25" customHeight="1">
      <c r="A125" s="78">
        <v>14.3</v>
      </c>
      <c r="B125" s="14" t="s">
        <v>52</v>
      </c>
      <c r="C125" s="7"/>
      <c r="D125" s="14" t="s">
        <v>10</v>
      </c>
      <c r="E125" s="15" t="s">
        <v>44</v>
      </c>
      <c r="F125" s="14" t="s">
        <v>12</v>
      </c>
      <c r="G125" s="14" t="s">
        <v>19</v>
      </c>
      <c r="H125" s="27"/>
      <c r="I125" s="16">
        <f>S67</f>
        <v>8841</v>
      </c>
      <c r="J125" s="17">
        <v>100031.0</v>
      </c>
      <c r="K125" s="35">
        <v>100001.0</v>
      </c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7.25" customHeight="1">
      <c r="A126" s="78">
        <v>14.3</v>
      </c>
      <c r="B126" s="82" t="s">
        <v>52</v>
      </c>
      <c r="C126" s="83"/>
      <c r="D126" s="82" t="s">
        <v>10</v>
      </c>
      <c r="E126" s="84" t="s">
        <v>146</v>
      </c>
      <c r="F126" s="82" t="s">
        <v>12</v>
      </c>
      <c r="G126" s="82" t="s">
        <v>19</v>
      </c>
      <c r="H126" s="27"/>
      <c r="I126" s="85">
        <f>T66</f>
        <v>285.16</v>
      </c>
      <c r="J126" s="17">
        <v>100034.0</v>
      </c>
      <c r="K126" s="35">
        <v>100001.0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7.25" customHeight="1">
      <c r="A127" s="78">
        <v>14.3</v>
      </c>
      <c r="B127" s="14" t="s">
        <v>52</v>
      </c>
      <c r="C127" s="7"/>
      <c r="D127" s="14" t="s">
        <v>10</v>
      </c>
      <c r="E127" s="71" t="s">
        <v>68</v>
      </c>
      <c r="F127" s="72" t="s">
        <v>18</v>
      </c>
      <c r="G127" s="72" t="s">
        <v>19</v>
      </c>
      <c r="H127" s="14" t="s">
        <v>150</v>
      </c>
      <c r="I127" s="74">
        <f>U67</f>
        <v>217.9981151</v>
      </c>
      <c r="J127" s="17">
        <v>300000.0</v>
      </c>
      <c r="K127" s="35">
        <v>100001.0</v>
      </c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7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7.25" customHeight="1">
      <c r="A129" s="7"/>
      <c r="B129" s="8" t="s">
        <v>140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7.25" customHeight="1">
      <c r="A130" s="9" t="s">
        <v>40</v>
      </c>
      <c r="B130" s="9" t="s">
        <v>1</v>
      </c>
      <c r="C130" s="9" t="s">
        <v>41</v>
      </c>
      <c r="D130" s="9" t="s">
        <v>2</v>
      </c>
      <c r="E130" s="9" t="s">
        <v>3</v>
      </c>
      <c r="F130" s="20"/>
      <c r="G130" s="9" t="s">
        <v>5</v>
      </c>
      <c r="H130" s="9" t="s">
        <v>6</v>
      </c>
      <c r="I130" s="9" t="s">
        <v>7</v>
      </c>
      <c r="J130" s="10" t="s">
        <v>8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7.25" customHeight="1">
      <c r="A131" s="86">
        <v>14.4</v>
      </c>
      <c r="B131" s="22" t="s">
        <v>52</v>
      </c>
      <c r="C131" s="87">
        <v>45665.0</v>
      </c>
      <c r="D131" s="22" t="s">
        <v>10</v>
      </c>
      <c r="E131" s="22" t="s">
        <v>135</v>
      </c>
      <c r="F131" s="22" t="s">
        <v>12</v>
      </c>
      <c r="G131" s="22" t="s">
        <v>13</v>
      </c>
      <c r="H131" s="22" t="s">
        <v>90</v>
      </c>
      <c r="I131" s="25">
        <f>I132+I133+I134+I135</f>
        <v>17864.66682</v>
      </c>
      <c r="J131" s="26">
        <v>100062.0</v>
      </c>
      <c r="K131" s="35">
        <v>100001.0</v>
      </c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r="132" ht="17.25" customHeight="1">
      <c r="A132" s="70">
        <v>14.4</v>
      </c>
      <c r="B132" s="14" t="s">
        <v>52</v>
      </c>
      <c r="C132" s="7"/>
      <c r="D132" s="14" t="s">
        <v>10</v>
      </c>
      <c r="E132" s="15" t="s">
        <v>44</v>
      </c>
      <c r="F132" s="14" t="s">
        <v>12</v>
      </c>
      <c r="G132" s="14" t="s">
        <v>19</v>
      </c>
      <c r="H132" s="27"/>
      <c r="I132" s="16">
        <f>S70</f>
        <v>17396.84</v>
      </c>
      <c r="J132" s="17">
        <v>100031.0</v>
      </c>
      <c r="K132" s="35">
        <v>100001.0</v>
      </c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7.25" customHeight="1">
      <c r="A133" s="70">
        <v>14.4</v>
      </c>
      <c r="B133" s="14" t="s">
        <v>52</v>
      </c>
      <c r="C133" s="7"/>
      <c r="D133" s="14" t="s">
        <v>10</v>
      </c>
      <c r="E133" s="72" t="s">
        <v>36</v>
      </c>
      <c r="F133" s="14" t="s">
        <v>55</v>
      </c>
      <c r="G133" s="71" t="s">
        <v>19</v>
      </c>
      <c r="H133" s="73"/>
      <c r="I133" s="74">
        <f>I134*5%</f>
        <v>8.69842</v>
      </c>
      <c r="J133" s="88">
        <v>200065.0</v>
      </c>
      <c r="K133" s="35">
        <v>100001.0</v>
      </c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7.25" customHeight="1">
      <c r="A134" s="70">
        <v>14.4</v>
      </c>
      <c r="B134" s="14" t="s">
        <v>52</v>
      </c>
      <c r="C134" s="7"/>
      <c r="D134" s="14" t="s">
        <v>10</v>
      </c>
      <c r="E134" s="72" t="s">
        <v>151</v>
      </c>
      <c r="F134" s="72" t="s">
        <v>18</v>
      </c>
      <c r="G134" s="71" t="s">
        <v>19</v>
      </c>
      <c r="H134" s="73"/>
      <c r="I134" s="74">
        <f>V61*1%</f>
        <v>173.9684</v>
      </c>
      <c r="J134" s="88">
        <v>300002.0</v>
      </c>
      <c r="K134" s="35">
        <v>100001.0</v>
      </c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7.25" customHeight="1">
      <c r="A135" s="70">
        <v>14.4</v>
      </c>
      <c r="B135" s="14" t="s">
        <v>52</v>
      </c>
      <c r="C135" s="7"/>
      <c r="D135" s="14" t="s">
        <v>10</v>
      </c>
      <c r="E135" s="72" t="s">
        <v>152</v>
      </c>
      <c r="F135" s="14" t="s">
        <v>55</v>
      </c>
      <c r="G135" s="71" t="s">
        <v>19</v>
      </c>
      <c r="H135" s="73"/>
      <c r="I135" s="74">
        <f>R71</f>
        <v>285.16</v>
      </c>
      <c r="J135" s="88">
        <v>200078.0</v>
      </c>
      <c r="K135" s="35">
        <v>100001.0</v>
      </c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7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7.25" customHeight="1">
      <c r="A137" s="7"/>
      <c r="B137" s="8" t="s">
        <v>153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7.25" customHeight="1">
      <c r="A138" s="9" t="s">
        <v>40</v>
      </c>
      <c r="B138" s="9" t="s">
        <v>1</v>
      </c>
      <c r="C138" s="9" t="s">
        <v>41</v>
      </c>
      <c r="D138" s="9" t="s">
        <v>2</v>
      </c>
      <c r="E138" s="9" t="s">
        <v>3</v>
      </c>
      <c r="F138" s="20"/>
      <c r="G138" s="9" t="s">
        <v>5</v>
      </c>
      <c r="H138" s="9" t="s">
        <v>6</v>
      </c>
      <c r="I138" s="9" t="s">
        <v>7</v>
      </c>
      <c r="J138" s="10" t="s">
        <v>8</v>
      </c>
      <c r="K138" s="11" t="s">
        <v>154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7.25" customHeight="1">
      <c r="A139" s="70">
        <v>14.5</v>
      </c>
      <c r="B139" s="14" t="s">
        <v>52</v>
      </c>
      <c r="C139" s="7" t="s">
        <v>137</v>
      </c>
      <c r="D139" s="14" t="s">
        <v>10</v>
      </c>
      <c r="E139" s="15" t="s">
        <v>155</v>
      </c>
      <c r="F139" s="14" t="s">
        <v>156</v>
      </c>
      <c r="G139" s="14" t="s">
        <v>13</v>
      </c>
      <c r="H139" s="27"/>
      <c r="I139" s="16">
        <f>I140+I141</f>
        <v>17682</v>
      </c>
      <c r="J139" s="17">
        <v>400041.0</v>
      </c>
      <c r="K139" s="35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7.25" customHeight="1">
      <c r="A140" s="70">
        <v>14.5</v>
      </c>
      <c r="B140" s="14" t="s">
        <v>52</v>
      </c>
      <c r="C140" s="7"/>
      <c r="D140" s="14" t="s">
        <v>10</v>
      </c>
      <c r="E140" s="15" t="s">
        <v>44</v>
      </c>
      <c r="F140" s="14" t="s">
        <v>12</v>
      </c>
      <c r="G140" s="14" t="s">
        <v>19</v>
      </c>
      <c r="H140" s="27"/>
      <c r="I140" s="16">
        <f>S62</f>
        <v>17396.84</v>
      </c>
      <c r="J140" s="17">
        <v>100031.0</v>
      </c>
      <c r="K140" s="35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7.25" customHeight="1">
      <c r="A141" s="70">
        <v>14.5</v>
      </c>
      <c r="B141" s="14" t="s">
        <v>52</v>
      </c>
      <c r="C141" s="7"/>
      <c r="D141" s="14" t="s">
        <v>10</v>
      </c>
      <c r="E141" s="14" t="s">
        <v>70</v>
      </c>
      <c r="F141" s="14" t="s">
        <v>12</v>
      </c>
      <c r="G141" s="14" t="s">
        <v>19</v>
      </c>
      <c r="H141" s="27"/>
      <c r="I141" s="16">
        <f>T62</f>
        <v>285.16</v>
      </c>
      <c r="J141" s="17">
        <v>100034.0</v>
      </c>
      <c r="K141" s="35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7.25" customHeight="1">
      <c r="A142" s="73"/>
      <c r="B142" s="89"/>
      <c r="C142" s="89"/>
      <c r="D142" s="89"/>
      <c r="E142" s="89"/>
      <c r="F142" s="89"/>
      <c r="G142" s="89"/>
      <c r="H142" s="89"/>
      <c r="I142" s="90"/>
      <c r="J142" s="8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7.25" customHeight="1">
      <c r="A143" s="7"/>
      <c r="B143" s="8" t="s">
        <v>157</v>
      </c>
      <c r="C143" s="7"/>
      <c r="D143" s="7"/>
      <c r="E143" s="7"/>
      <c r="F143" s="7"/>
      <c r="G143" s="7"/>
      <c r="H143" s="7"/>
      <c r="I143" s="7"/>
      <c r="J143" s="7"/>
      <c r="K143" s="11" t="s">
        <v>154</v>
      </c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7.25" customHeight="1">
      <c r="A144" s="9" t="s">
        <v>40</v>
      </c>
      <c r="B144" s="9" t="s">
        <v>1</v>
      </c>
      <c r="C144" s="9" t="s">
        <v>41</v>
      </c>
      <c r="D144" s="9" t="s">
        <v>2</v>
      </c>
      <c r="E144" s="9" t="s">
        <v>3</v>
      </c>
      <c r="F144" s="20"/>
      <c r="G144" s="9" t="s">
        <v>5</v>
      </c>
      <c r="H144" s="9" t="s">
        <v>6</v>
      </c>
      <c r="I144" s="9" t="s">
        <v>7</v>
      </c>
      <c r="J144" s="10" t="s">
        <v>8</v>
      </c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7.25" customHeight="1">
      <c r="A145" s="70">
        <v>14.6</v>
      </c>
      <c r="B145" s="14" t="s">
        <v>52</v>
      </c>
      <c r="C145" s="7" t="s">
        <v>137</v>
      </c>
      <c r="D145" s="14" t="s">
        <v>10</v>
      </c>
      <c r="E145" s="15" t="s">
        <v>155</v>
      </c>
      <c r="F145" s="14" t="s">
        <v>156</v>
      </c>
      <c r="G145" s="14" t="s">
        <v>13</v>
      </c>
      <c r="H145" s="27"/>
      <c r="I145" s="16">
        <f>R62/2</f>
        <v>8841</v>
      </c>
      <c r="J145" s="17">
        <v>400041.0</v>
      </c>
      <c r="K145" s="35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7.25" customHeight="1">
      <c r="A146" s="70">
        <v>14.6</v>
      </c>
      <c r="B146" s="14" t="s">
        <v>52</v>
      </c>
      <c r="C146" s="7"/>
      <c r="D146" s="14" t="s">
        <v>10</v>
      </c>
      <c r="E146" s="15" t="s">
        <v>44</v>
      </c>
      <c r="F146" s="14" t="s">
        <v>12</v>
      </c>
      <c r="G146" s="14" t="s">
        <v>19</v>
      </c>
      <c r="H146" s="27"/>
      <c r="I146" s="16">
        <f>I145-I147</f>
        <v>8555.84</v>
      </c>
      <c r="J146" s="17">
        <v>100031.0</v>
      </c>
      <c r="K146" s="35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7.25" customHeight="1">
      <c r="A147" s="70">
        <v>14.6</v>
      </c>
      <c r="B147" s="14" t="s">
        <v>52</v>
      </c>
      <c r="C147" s="7"/>
      <c r="D147" s="14" t="s">
        <v>10</v>
      </c>
      <c r="E147" s="14" t="s">
        <v>70</v>
      </c>
      <c r="F147" s="14" t="s">
        <v>12</v>
      </c>
      <c r="G147" s="14" t="s">
        <v>19</v>
      </c>
      <c r="H147" s="27"/>
      <c r="I147" s="16">
        <f>T62</f>
        <v>285.16</v>
      </c>
      <c r="J147" s="17">
        <v>100034.0</v>
      </c>
      <c r="K147" s="35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7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7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7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7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7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7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7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7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7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7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7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7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7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7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7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7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7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7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7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7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7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7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7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7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7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7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7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7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7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7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7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7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7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7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7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7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7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7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7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7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7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7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7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7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7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7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7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7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7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7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7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7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7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7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7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7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7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7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7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7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7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7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7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7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7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7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7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7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7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7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7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7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7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7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7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7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7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7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7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7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7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7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7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7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7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7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7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7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7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7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7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7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7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7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7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7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7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7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7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7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7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7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7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7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7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7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7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7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7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7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7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7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7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7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7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7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7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7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7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7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7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7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7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7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7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7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7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7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7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7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7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7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7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7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7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7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7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7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7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7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7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7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7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7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7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7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7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7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7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7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7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7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7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7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7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7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7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7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7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7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7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7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7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7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7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7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7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7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7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7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7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7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7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7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7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7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7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7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7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7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7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7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7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7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7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7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7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7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7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7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7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7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7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7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7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7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7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7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7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7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7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7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7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7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7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7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7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7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7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7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7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7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7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7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7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7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7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7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7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7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7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7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7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7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7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7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7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7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7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7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7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7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7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7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7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7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7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7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7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7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7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7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7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7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7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7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7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7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7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7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7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7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7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7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7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7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7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7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7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7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7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7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7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7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7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7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7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7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7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7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7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7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7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7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7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7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7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7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7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7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7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7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7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7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7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7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7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7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7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7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7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7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7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7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7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7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7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7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7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7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7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7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7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7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7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7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7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7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7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7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7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7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7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7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7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7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7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7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7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7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7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7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7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7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7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7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7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7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7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7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7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7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7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7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7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7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7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7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7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7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7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7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7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7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7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7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7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7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7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7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7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7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7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7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7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7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7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7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7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7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7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7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7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7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7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7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7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7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7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7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7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7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7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7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7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7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7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7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7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7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7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7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7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7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7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7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7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7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7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7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7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7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7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7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7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7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7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7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7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7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7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7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7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7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7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7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7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7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7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7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7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7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7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7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7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7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7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7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7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7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7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7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7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7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7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7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7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7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7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7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7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7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7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7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7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7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7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7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7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7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7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7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7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7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7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7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7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7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7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7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7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7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7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7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7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7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7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7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7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7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7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7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7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7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7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7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7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7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7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7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7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7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7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7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7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7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7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7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7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7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7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7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7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7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7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7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7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7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7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7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7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7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7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7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7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7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7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7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7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7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7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7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7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7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7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7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7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7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7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7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7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7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7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7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7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7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7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7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7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7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7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7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7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7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7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7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7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7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7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7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7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7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7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7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7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7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7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7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7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7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7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7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7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7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7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7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7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7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7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7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7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7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7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7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7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7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7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7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7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7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7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7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7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7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7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7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7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7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7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7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7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7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7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7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7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7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7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7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7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7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7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7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7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7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7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7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7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7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7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7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7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7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7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7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7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7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7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7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7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7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7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7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7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7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7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7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7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7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7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7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7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7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7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7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7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7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7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7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7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7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7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7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7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7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7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7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7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7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7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7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7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7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7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7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7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7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7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7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7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7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7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7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7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7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7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7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7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7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7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7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7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7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7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7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7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7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7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7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7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7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7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7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7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7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7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7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7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7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7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7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7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7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7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7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7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7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7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7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7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7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7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7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7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7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7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7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7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7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7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7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7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7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7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7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7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7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7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7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7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7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7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7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7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7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7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7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7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7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7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7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7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7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7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7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7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7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7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7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7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7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7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7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7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7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7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7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7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7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7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7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7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7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7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7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7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7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7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7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7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7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7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7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7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7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7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7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7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7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7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7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7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7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7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7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7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7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7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7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7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7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7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7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7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7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7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7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7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7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7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7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7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7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7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7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7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7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7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7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7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7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7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7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7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7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7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7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7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7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7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7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7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7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7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7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7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7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7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7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7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7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7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7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7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7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7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7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7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7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7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7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7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7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7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7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7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7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7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7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7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7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7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7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7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7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7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7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7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7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7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7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7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7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7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7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7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7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7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7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7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7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7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7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7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7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7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7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7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7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17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17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17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ht="17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ht="17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ht="17.2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ht="17.2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ht="17.2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ht="17.2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ht="17.2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ht="17.25" customHeigh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ht="17.25" customHeight="1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ht="17.25" customHeigh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ht="17.25" customHeight="1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ht="17.25" customHeight="1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ht="17.25" customHeight="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ht="17.25" customHeight="1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ht="17.25" customHeight="1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ht="17.25" customHeight="1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</sheetData>
  <autoFilter ref="$A$1:$AB$1014"/>
  <hyperlinks>
    <hyperlink r:id="rId1" ref="C108"/>
    <hyperlink r:id="rId2" ref="E12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4.88"/>
    <col customWidth="1" min="7" max="7" width="24.75"/>
  </cols>
  <sheetData>
    <row r="1">
      <c r="A1" s="89"/>
      <c r="D1" s="89"/>
      <c r="E1" s="89"/>
      <c r="F1" s="89"/>
      <c r="G1" s="89"/>
      <c r="H1" s="89"/>
      <c r="I1" s="89"/>
      <c r="J1" s="89"/>
      <c r="K1" s="7"/>
      <c r="L1" s="7"/>
      <c r="M1" s="8" t="s">
        <v>120</v>
      </c>
      <c r="N1" s="7"/>
      <c r="O1" s="7"/>
      <c r="P1" s="7"/>
      <c r="Q1" s="7"/>
      <c r="R1" s="7"/>
      <c r="S1" s="7"/>
      <c r="T1" s="7"/>
      <c r="U1" s="7"/>
      <c r="V1" s="7"/>
      <c r="W1" s="7"/>
    </row>
    <row r="2">
      <c r="A2" s="91" t="s">
        <v>158</v>
      </c>
      <c r="D2" s="7"/>
      <c r="E2" s="7"/>
      <c r="F2" s="92" t="s">
        <v>159</v>
      </c>
      <c r="G2" s="93">
        <v>1.1</v>
      </c>
      <c r="H2" s="7"/>
      <c r="I2" s="7"/>
      <c r="J2" s="7"/>
      <c r="K2" s="7"/>
      <c r="L2" s="7"/>
      <c r="M2" s="8" t="s">
        <v>120</v>
      </c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A3" s="7"/>
      <c r="B3" s="94" t="s">
        <v>160</v>
      </c>
      <c r="C3" s="7"/>
      <c r="D3" s="7"/>
      <c r="E3" s="7"/>
      <c r="F3" s="7"/>
      <c r="G3" s="7"/>
      <c r="H3" s="7"/>
      <c r="I3" s="7"/>
      <c r="J3" s="7"/>
      <c r="K3" s="7"/>
      <c r="L3" s="7"/>
      <c r="M3" s="53" t="s">
        <v>121</v>
      </c>
      <c r="N3" s="95" t="s">
        <v>122</v>
      </c>
      <c r="O3" s="95" t="s">
        <v>161</v>
      </c>
      <c r="P3" s="53" t="s">
        <v>124</v>
      </c>
      <c r="Q3" s="53" t="s">
        <v>162</v>
      </c>
      <c r="R3" s="53" t="s">
        <v>163</v>
      </c>
      <c r="S3" s="96" t="s">
        <v>150</v>
      </c>
      <c r="T3" s="53" t="s">
        <v>114</v>
      </c>
      <c r="U3" s="53" t="s">
        <v>126</v>
      </c>
      <c r="V3" s="53" t="s">
        <v>164</v>
      </c>
      <c r="W3" s="53" t="s">
        <v>165</v>
      </c>
    </row>
    <row r="4">
      <c r="A4" s="94" t="s">
        <v>166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54">
        <v>1.0</v>
      </c>
      <c r="N4" s="97">
        <v>45965.0</v>
      </c>
      <c r="O4" s="98">
        <v>1844.44</v>
      </c>
      <c r="P4" s="98">
        <v>1650.78</v>
      </c>
      <c r="Q4" s="98">
        <v>184.44</v>
      </c>
      <c r="R4" s="98">
        <v>9.22</v>
      </c>
      <c r="S4" s="99"/>
      <c r="T4" s="99">
        <v>148570.0</v>
      </c>
      <c r="U4" s="99">
        <v>146919.22</v>
      </c>
      <c r="V4" s="99">
        <v>166000.0</v>
      </c>
      <c r="W4" s="99">
        <v>164155.56</v>
      </c>
      <c r="Y4" s="100">
        <v>90.0</v>
      </c>
      <c r="Z4" s="100">
        <v>1.1</v>
      </c>
    </row>
    <row r="5">
      <c r="A5" s="7"/>
      <c r="B5" s="7"/>
      <c r="C5" s="101" t="s">
        <v>57</v>
      </c>
      <c r="D5" s="102" t="s">
        <v>167</v>
      </c>
      <c r="E5" s="30"/>
      <c r="F5" s="7"/>
      <c r="G5" s="7"/>
      <c r="H5" s="7"/>
      <c r="I5" s="7"/>
      <c r="J5" s="7"/>
      <c r="K5" s="7"/>
      <c r="L5" s="7"/>
      <c r="M5" s="54">
        <v>2.0</v>
      </c>
      <c r="N5" s="103">
        <v>45995.0</v>
      </c>
      <c r="O5" s="104">
        <f t="shared" ref="O5:R5" si="1">O4</f>
        <v>1844.44</v>
      </c>
      <c r="P5" s="104">
        <f t="shared" si="1"/>
        <v>1650.78</v>
      </c>
      <c r="Q5" s="104">
        <f t="shared" si="1"/>
        <v>184.44</v>
      </c>
      <c r="R5" s="104">
        <f t="shared" si="1"/>
        <v>9.22</v>
      </c>
      <c r="S5" s="104"/>
      <c r="T5" s="104">
        <f t="shared" ref="T5:T93" si="3">U4</f>
        <v>146919.22</v>
      </c>
      <c r="U5" s="104">
        <f t="shared" ref="U5:U93" si="4">T5-P5</f>
        <v>145268.44</v>
      </c>
      <c r="V5" s="104">
        <f>W4</f>
        <v>164155.56</v>
      </c>
      <c r="W5" s="104">
        <f t="shared" ref="W5:W93" si="5">V5-O5</f>
        <v>162311.12</v>
      </c>
      <c r="Y5" s="100">
        <v>120.0</v>
      </c>
      <c r="Z5" s="100">
        <v>1.15</v>
      </c>
    </row>
    <row r="6">
      <c r="A6" s="92" t="s">
        <v>0</v>
      </c>
      <c r="B6" s="92" t="s">
        <v>1</v>
      </c>
      <c r="C6" s="92" t="s">
        <v>2</v>
      </c>
      <c r="D6" s="92" t="s">
        <v>3</v>
      </c>
      <c r="E6" s="92" t="s">
        <v>4</v>
      </c>
      <c r="F6" s="92" t="s">
        <v>5</v>
      </c>
      <c r="G6" s="92" t="s">
        <v>6</v>
      </c>
      <c r="H6" s="105" t="s">
        <v>7</v>
      </c>
      <c r="I6" s="9" t="s">
        <v>8</v>
      </c>
      <c r="J6" s="7"/>
      <c r="K6" s="7"/>
      <c r="L6" s="7"/>
      <c r="M6" s="54">
        <v>3.0</v>
      </c>
      <c r="N6" s="103" t="s">
        <v>168</v>
      </c>
      <c r="O6" s="104">
        <f t="shared" ref="O6:R6" si="2">O5</f>
        <v>1844.44</v>
      </c>
      <c r="P6" s="104">
        <f t="shared" si="2"/>
        <v>1650.78</v>
      </c>
      <c r="Q6" s="104">
        <f t="shared" si="2"/>
        <v>184.44</v>
      </c>
      <c r="R6" s="104">
        <f t="shared" si="2"/>
        <v>9.22</v>
      </c>
      <c r="S6" s="104"/>
      <c r="T6" s="104">
        <f t="shared" si="3"/>
        <v>145268.44</v>
      </c>
      <c r="U6" s="104">
        <f t="shared" si="4"/>
        <v>143617.66</v>
      </c>
      <c r="V6" s="104">
        <f t="shared" ref="V6:V93" si="7">V5-O6</f>
        <v>162311.12</v>
      </c>
      <c r="W6" s="104">
        <f t="shared" si="5"/>
        <v>160466.68</v>
      </c>
      <c r="Y6" s="100">
        <v>180.0</v>
      </c>
      <c r="Z6" s="100">
        <v>1.18</v>
      </c>
    </row>
    <row r="7">
      <c r="A7" s="106">
        <v>1.0</v>
      </c>
      <c r="B7" s="106" t="s">
        <v>9</v>
      </c>
      <c r="C7" s="106" t="s">
        <v>10</v>
      </c>
      <c r="D7" s="107" t="s">
        <v>169</v>
      </c>
      <c r="E7" s="106" t="s">
        <v>12</v>
      </c>
      <c r="F7" s="106" t="s">
        <v>13</v>
      </c>
      <c r="G7" s="106" t="s">
        <v>170</v>
      </c>
      <c r="H7" s="108">
        <f>H12</f>
        <v>148570</v>
      </c>
      <c r="I7" s="106">
        <v>100053.0</v>
      </c>
      <c r="J7" s="56"/>
      <c r="K7" s="7"/>
      <c r="L7" s="7"/>
      <c r="M7" s="54">
        <v>4.0</v>
      </c>
      <c r="N7" s="103" t="s">
        <v>171</v>
      </c>
      <c r="O7" s="104">
        <f t="shared" ref="O7:R7" si="6">O6</f>
        <v>1844.44</v>
      </c>
      <c r="P7" s="104">
        <f t="shared" si="6"/>
        <v>1650.78</v>
      </c>
      <c r="Q7" s="104">
        <f t="shared" si="6"/>
        <v>184.44</v>
      </c>
      <c r="R7" s="104">
        <f t="shared" si="6"/>
        <v>9.22</v>
      </c>
      <c r="S7" s="104"/>
      <c r="T7" s="104">
        <f t="shared" si="3"/>
        <v>143617.66</v>
      </c>
      <c r="U7" s="104">
        <f t="shared" si="4"/>
        <v>141966.88</v>
      </c>
      <c r="V7" s="104">
        <f t="shared" si="7"/>
        <v>160466.68</v>
      </c>
      <c r="W7" s="104">
        <f t="shared" si="5"/>
        <v>158622.24</v>
      </c>
    </row>
    <row r="8">
      <c r="A8" s="106">
        <v>1.0</v>
      </c>
      <c r="B8" s="106" t="s">
        <v>9</v>
      </c>
      <c r="C8" s="106" t="s">
        <v>10</v>
      </c>
      <c r="D8" s="107" t="s">
        <v>172</v>
      </c>
      <c r="E8" s="106" t="s">
        <v>12</v>
      </c>
      <c r="F8" s="106" t="s">
        <v>13</v>
      </c>
      <c r="G8" s="106" t="s">
        <v>173</v>
      </c>
      <c r="H8" s="108">
        <f t="shared" ref="H8:H9" si="9">H10</f>
        <v>16600</v>
      </c>
      <c r="I8" s="109">
        <v>100064.0</v>
      </c>
      <c r="J8" s="11"/>
      <c r="K8" s="7"/>
      <c r="L8" s="7"/>
      <c r="M8" s="54">
        <v>5.0</v>
      </c>
      <c r="N8" s="103" t="s">
        <v>174</v>
      </c>
      <c r="O8" s="104">
        <f t="shared" ref="O8:R8" si="8">O7</f>
        <v>1844.44</v>
      </c>
      <c r="P8" s="104">
        <f t="shared" si="8"/>
        <v>1650.78</v>
      </c>
      <c r="Q8" s="104">
        <f t="shared" si="8"/>
        <v>184.44</v>
      </c>
      <c r="R8" s="104">
        <f t="shared" si="8"/>
        <v>9.22</v>
      </c>
      <c r="S8" s="104"/>
      <c r="T8" s="104">
        <f t="shared" si="3"/>
        <v>141966.88</v>
      </c>
      <c r="U8" s="104">
        <f t="shared" si="4"/>
        <v>140316.1</v>
      </c>
      <c r="V8" s="104">
        <f t="shared" si="7"/>
        <v>158622.24</v>
      </c>
      <c r="W8" s="104">
        <f t="shared" si="5"/>
        <v>156777.8</v>
      </c>
    </row>
    <row r="9">
      <c r="A9" s="106">
        <v>1.0</v>
      </c>
      <c r="B9" s="106" t="s">
        <v>9</v>
      </c>
      <c r="C9" s="106" t="s">
        <v>10</v>
      </c>
      <c r="D9" s="107" t="s">
        <v>36</v>
      </c>
      <c r="E9" s="106" t="s">
        <v>22</v>
      </c>
      <c r="F9" s="106" t="s">
        <v>13</v>
      </c>
      <c r="G9" s="106" t="s">
        <v>175</v>
      </c>
      <c r="H9" s="108">
        <f t="shared" si="9"/>
        <v>830</v>
      </c>
      <c r="I9" s="106">
        <v>200065.0</v>
      </c>
      <c r="J9" s="7"/>
      <c r="K9" s="7"/>
      <c r="L9" s="7"/>
      <c r="M9" s="54">
        <v>6.0</v>
      </c>
      <c r="N9" s="103" t="s">
        <v>176</v>
      </c>
      <c r="O9" s="104">
        <f t="shared" ref="O9:R9" si="10">O8</f>
        <v>1844.44</v>
      </c>
      <c r="P9" s="104">
        <f t="shared" si="10"/>
        <v>1650.78</v>
      </c>
      <c r="Q9" s="104">
        <f t="shared" si="10"/>
        <v>184.44</v>
      </c>
      <c r="R9" s="104">
        <f t="shared" si="10"/>
        <v>9.22</v>
      </c>
      <c r="S9" s="104"/>
      <c r="T9" s="104">
        <f t="shared" si="3"/>
        <v>140316.1</v>
      </c>
      <c r="U9" s="104">
        <f t="shared" si="4"/>
        <v>138665.32</v>
      </c>
      <c r="V9" s="104">
        <f t="shared" si="7"/>
        <v>156777.8</v>
      </c>
      <c r="W9" s="104">
        <f t="shared" si="5"/>
        <v>154933.36</v>
      </c>
    </row>
    <row r="10">
      <c r="A10" s="106">
        <v>1.0</v>
      </c>
      <c r="B10" s="106" t="s">
        <v>9</v>
      </c>
      <c r="C10" s="106" t="s">
        <v>10</v>
      </c>
      <c r="D10" s="107" t="s">
        <v>177</v>
      </c>
      <c r="E10" s="106" t="s">
        <v>22</v>
      </c>
      <c r="F10" s="106" t="s">
        <v>19</v>
      </c>
      <c r="G10" s="109" t="s">
        <v>178</v>
      </c>
      <c r="H10" s="108">
        <v>16600.0</v>
      </c>
      <c r="I10" s="109">
        <v>200084.0</v>
      </c>
      <c r="J10" s="11"/>
      <c r="K10" s="7"/>
      <c r="L10" s="7"/>
      <c r="M10" s="54">
        <v>7.0</v>
      </c>
      <c r="N10" s="103" t="s">
        <v>179</v>
      </c>
      <c r="O10" s="104">
        <f t="shared" ref="O10:R10" si="11">O9</f>
        <v>1844.44</v>
      </c>
      <c r="P10" s="104">
        <f t="shared" si="11"/>
        <v>1650.78</v>
      </c>
      <c r="Q10" s="104">
        <f t="shared" si="11"/>
        <v>184.44</v>
      </c>
      <c r="R10" s="104">
        <f t="shared" si="11"/>
        <v>9.22</v>
      </c>
      <c r="S10" s="104"/>
      <c r="T10" s="104">
        <f t="shared" si="3"/>
        <v>138665.32</v>
      </c>
      <c r="U10" s="104">
        <f t="shared" si="4"/>
        <v>137014.54</v>
      </c>
      <c r="V10" s="104">
        <f t="shared" si="7"/>
        <v>154933.36</v>
      </c>
      <c r="W10" s="104">
        <f t="shared" si="5"/>
        <v>153088.92</v>
      </c>
    </row>
    <row r="11">
      <c r="A11" s="106">
        <v>1.0</v>
      </c>
      <c r="B11" s="106" t="s">
        <v>9</v>
      </c>
      <c r="C11" s="106" t="s">
        <v>10</v>
      </c>
      <c r="D11" s="107" t="s">
        <v>36</v>
      </c>
      <c r="E11" s="106" t="s">
        <v>22</v>
      </c>
      <c r="F11" s="106" t="s">
        <v>19</v>
      </c>
      <c r="G11" s="106" t="s">
        <v>175</v>
      </c>
      <c r="H11" s="108">
        <v>830.0</v>
      </c>
      <c r="I11" s="106">
        <v>200065.0</v>
      </c>
      <c r="J11" s="7"/>
      <c r="K11" s="7"/>
      <c r="L11" s="7"/>
      <c r="M11" s="54">
        <v>8.0</v>
      </c>
      <c r="N11" s="103" t="s">
        <v>180</v>
      </c>
      <c r="O11" s="104">
        <f t="shared" ref="O11:R11" si="12">O10</f>
        <v>1844.44</v>
      </c>
      <c r="P11" s="104">
        <f t="shared" si="12"/>
        <v>1650.78</v>
      </c>
      <c r="Q11" s="104">
        <f t="shared" si="12"/>
        <v>184.44</v>
      </c>
      <c r="R11" s="104">
        <f t="shared" si="12"/>
        <v>9.22</v>
      </c>
      <c r="S11" s="104"/>
      <c r="T11" s="104">
        <f t="shared" si="3"/>
        <v>137014.54</v>
      </c>
      <c r="U11" s="104">
        <f t="shared" si="4"/>
        <v>135363.76</v>
      </c>
      <c r="V11" s="104">
        <f t="shared" si="7"/>
        <v>153088.92</v>
      </c>
      <c r="W11" s="104">
        <f t="shared" si="5"/>
        <v>151244.48</v>
      </c>
    </row>
    <row r="12">
      <c r="A12" s="106">
        <v>1.0</v>
      </c>
      <c r="B12" s="106" t="s">
        <v>9</v>
      </c>
      <c r="C12" s="106" t="s">
        <v>10</v>
      </c>
      <c r="D12" s="107" t="s">
        <v>181</v>
      </c>
      <c r="E12" s="106" t="s">
        <v>22</v>
      </c>
      <c r="F12" s="106" t="s">
        <v>19</v>
      </c>
      <c r="G12" s="106" t="s">
        <v>23</v>
      </c>
      <c r="H12" s="108">
        <v>148570.0</v>
      </c>
      <c r="I12" s="106">
        <v>200043.0</v>
      </c>
      <c r="J12" s="56"/>
      <c r="K12" s="7"/>
      <c r="L12" s="7"/>
      <c r="M12" s="54">
        <v>9.0</v>
      </c>
      <c r="N12" s="103" t="s">
        <v>182</v>
      </c>
      <c r="O12" s="104">
        <f t="shared" ref="O12:R12" si="13">O11</f>
        <v>1844.44</v>
      </c>
      <c r="P12" s="104">
        <f t="shared" si="13"/>
        <v>1650.78</v>
      </c>
      <c r="Q12" s="104">
        <f t="shared" si="13"/>
        <v>184.44</v>
      </c>
      <c r="R12" s="104">
        <f t="shared" si="13"/>
        <v>9.22</v>
      </c>
      <c r="S12" s="104"/>
      <c r="T12" s="104">
        <f t="shared" si="3"/>
        <v>135363.76</v>
      </c>
      <c r="U12" s="104">
        <f t="shared" si="4"/>
        <v>133712.98</v>
      </c>
      <c r="V12" s="104">
        <f t="shared" si="7"/>
        <v>151244.48</v>
      </c>
      <c r="W12" s="104">
        <f t="shared" si="5"/>
        <v>149400.04</v>
      </c>
    </row>
    <row r="13">
      <c r="A13" s="110"/>
      <c r="B13" s="110"/>
      <c r="C13" s="110"/>
      <c r="D13" s="110"/>
      <c r="E13" s="110"/>
      <c r="F13" s="110"/>
      <c r="G13" s="110"/>
      <c r="H13" s="111"/>
      <c r="I13" s="110"/>
      <c r="J13" s="7"/>
      <c r="K13" s="7"/>
      <c r="L13" s="7"/>
      <c r="M13" s="54">
        <v>10.0</v>
      </c>
      <c r="N13" s="103" t="s">
        <v>183</v>
      </c>
      <c r="O13" s="104">
        <f t="shared" ref="O13:R13" si="14">O12</f>
        <v>1844.44</v>
      </c>
      <c r="P13" s="104">
        <f t="shared" si="14"/>
        <v>1650.78</v>
      </c>
      <c r="Q13" s="104">
        <f t="shared" si="14"/>
        <v>184.44</v>
      </c>
      <c r="R13" s="104">
        <f t="shared" si="14"/>
        <v>9.22</v>
      </c>
      <c r="S13" s="104"/>
      <c r="T13" s="104">
        <f t="shared" si="3"/>
        <v>133712.98</v>
      </c>
      <c r="U13" s="104">
        <f t="shared" si="4"/>
        <v>132062.2</v>
      </c>
      <c r="V13" s="104">
        <f t="shared" si="7"/>
        <v>149400.04</v>
      </c>
      <c r="W13" s="104">
        <f t="shared" si="5"/>
        <v>147555.6</v>
      </c>
    </row>
    <row r="14">
      <c r="A14" s="110"/>
      <c r="B14" s="110"/>
      <c r="C14" s="110"/>
      <c r="D14" s="110"/>
      <c r="E14" s="110"/>
      <c r="F14" s="110"/>
      <c r="G14" s="110"/>
      <c r="H14" s="111"/>
      <c r="I14" s="110"/>
      <c r="J14" s="7"/>
      <c r="K14" s="7"/>
      <c r="L14" s="7"/>
      <c r="M14" s="54">
        <v>11.0</v>
      </c>
      <c r="N14" s="103" t="s">
        <v>184</v>
      </c>
      <c r="O14" s="104">
        <f t="shared" ref="O14:R14" si="15">O13</f>
        <v>1844.44</v>
      </c>
      <c r="P14" s="104">
        <f t="shared" si="15"/>
        <v>1650.78</v>
      </c>
      <c r="Q14" s="104">
        <f t="shared" si="15"/>
        <v>184.44</v>
      </c>
      <c r="R14" s="104">
        <f t="shared" si="15"/>
        <v>9.22</v>
      </c>
      <c r="S14" s="104"/>
      <c r="T14" s="104">
        <f t="shared" si="3"/>
        <v>132062.2</v>
      </c>
      <c r="U14" s="104">
        <f t="shared" si="4"/>
        <v>130411.42</v>
      </c>
      <c r="V14" s="104">
        <f t="shared" si="7"/>
        <v>147555.6</v>
      </c>
      <c r="W14" s="104">
        <f t="shared" si="5"/>
        <v>145711.16</v>
      </c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54">
        <v>12.0</v>
      </c>
      <c r="N15" s="103" t="s">
        <v>185</v>
      </c>
      <c r="O15" s="104">
        <f t="shared" ref="O15:R15" si="16">O14</f>
        <v>1844.44</v>
      </c>
      <c r="P15" s="104">
        <f t="shared" si="16"/>
        <v>1650.78</v>
      </c>
      <c r="Q15" s="104">
        <f t="shared" si="16"/>
        <v>184.44</v>
      </c>
      <c r="R15" s="104">
        <f t="shared" si="16"/>
        <v>9.22</v>
      </c>
      <c r="S15" s="104"/>
      <c r="T15" s="104">
        <f t="shared" si="3"/>
        <v>130411.42</v>
      </c>
      <c r="U15" s="104">
        <f t="shared" si="4"/>
        <v>128760.64</v>
      </c>
      <c r="V15" s="104">
        <f t="shared" si="7"/>
        <v>145711.16</v>
      </c>
      <c r="W15" s="104">
        <f t="shared" si="5"/>
        <v>143866.72</v>
      </c>
    </row>
    <row r="16">
      <c r="A16" s="94" t="s">
        <v>39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54">
        <v>13.0</v>
      </c>
      <c r="N16" s="103" t="s">
        <v>186</v>
      </c>
      <c r="O16" s="104">
        <f t="shared" ref="O16:R16" si="17">O15</f>
        <v>1844.44</v>
      </c>
      <c r="P16" s="104">
        <f t="shared" si="17"/>
        <v>1650.78</v>
      </c>
      <c r="Q16" s="104">
        <f t="shared" si="17"/>
        <v>184.44</v>
      </c>
      <c r="R16" s="104">
        <f t="shared" si="17"/>
        <v>9.22</v>
      </c>
      <c r="S16" s="104"/>
      <c r="T16" s="104">
        <f t="shared" si="3"/>
        <v>128760.64</v>
      </c>
      <c r="U16" s="104">
        <f t="shared" si="4"/>
        <v>127109.86</v>
      </c>
      <c r="V16" s="104">
        <f t="shared" si="7"/>
        <v>143866.72</v>
      </c>
      <c r="W16" s="104">
        <f t="shared" si="5"/>
        <v>142022.28</v>
      </c>
    </row>
    <row r="17">
      <c r="A17" s="7"/>
      <c r="B17" s="7"/>
      <c r="C17" s="101" t="s">
        <v>57</v>
      </c>
      <c r="D17" s="102" t="s">
        <v>58</v>
      </c>
      <c r="E17" s="30"/>
      <c r="F17" s="34" t="s">
        <v>187</v>
      </c>
      <c r="H17" s="7"/>
      <c r="I17" s="7"/>
      <c r="J17" s="7"/>
      <c r="K17" s="7"/>
      <c r="L17" s="7"/>
      <c r="M17" s="54">
        <v>14.0</v>
      </c>
      <c r="N17" s="103" t="s">
        <v>188</v>
      </c>
      <c r="O17" s="104">
        <f t="shared" ref="O17:R17" si="18">O16</f>
        <v>1844.44</v>
      </c>
      <c r="P17" s="104">
        <f t="shared" si="18"/>
        <v>1650.78</v>
      </c>
      <c r="Q17" s="104">
        <f t="shared" si="18"/>
        <v>184.44</v>
      </c>
      <c r="R17" s="104">
        <f t="shared" si="18"/>
        <v>9.22</v>
      </c>
      <c r="S17" s="104"/>
      <c r="T17" s="104">
        <f t="shared" si="3"/>
        <v>127109.86</v>
      </c>
      <c r="U17" s="104">
        <f t="shared" si="4"/>
        <v>125459.08</v>
      </c>
      <c r="V17" s="104">
        <f t="shared" si="7"/>
        <v>142022.28</v>
      </c>
      <c r="W17" s="104">
        <f t="shared" si="5"/>
        <v>140177.84</v>
      </c>
    </row>
    <row r="18">
      <c r="A18" s="92" t="s">
        <v>0</v>
      </c>
      <c r="B18" s="92" t="s">
        <v>1</v>
      </c>
      <c r="C18" s="92" t="s">
        <v>2</v>
      </c>
      <c r="D18" s="92" t="s">
        <v>3</v>
      </c>
      <c r="E18" s="92" t="s">
        <v>4</v>
      </c>
      <c r="F18" s="92" t="s">
        <v>5</v>
      </c>
      <c r="G18" s="92" t="s">
        <v>6</v>
      </c>
      <c r="H18" s="105" t="s">
        <v>7</v>
      </c>
      <c r="I18" s="9" t="s">
        <v>8</v>
      </c>
      <c r="J18" s="7"/>
      <c r="K18" s="7"/>
      <c r="L18" s="7"/>
      <c r="M18" s="54">
        <v>15.0</v>
      </c>
      <c r="N18" s="103" t="s">
        <v>189</v>
      </c>
      <c r="O18" s="104">
        <f t="shared" ref="O18:R18" si="19">O17</f>
        <v>1844.44</v>
      </c>
      <c r="P18" s="104">
        <f t="shared" si="19"/>
        <v>1650.78</v>
      </c>
      <c r="Q18" s="104">
        <f t="shared" si="19"/>
        <v>184.44</v>
      </c>
      <c r="R18" s="104">
        <f t="shared" si="19"/>
        <v>9.22</v>
      </c>
      <c r="S18" s="104"/>
      <c r="T18" s="104">
        <f t="shared" si="3"/>
        <v>125459.08</v>
      </c>
      <c r="U18" s="104">
        <f t="shared" si="4"/>
        <v>123808.3</v>
      </c>
      <c r="V18" s="104">
        <f t="shared" si="7"/>
        <v>140177.84</v>
      </c>
      <c r="W18" s="104">
        <f t="shared" si="5"/>
        <v>138333.4</v>
      </c>
    </row>
    <row r="19">
      <c r="A19" s="106">
        <v>2.0</v>
      </c>
      <c r="B19" s="106" t="s">
        <v>9</v>
      </c>
      <c r="C19" s="106" t="s">
        <v>10</v>
      </c>
      <c r="D19" s="107" t="s">
        <v>181</v>
      </c>
      <c r="E19" s="106" t="s">
        <v>22</v>
      </c>
      <c r="F19" s="106" t="s">
        <v>13</v>
      </c>
      <c r="G19" s="107" t="s">
        <v>23</v>
      </c>
      <c r="H19" s="108">
        <v>148570.0</v>
      </c>
      <c r="I19" s="106">
        <v>200043.0</v>
      </c>
      <c r="J19" s="7"/>
      <c r="K19" s="7"/>
      <c r="L19" s="7"/>
      <c r="M19" s="54">
        <v>16.0</v>
      </c>
      <c r="N19" s="103" t="s">
        <v>190</v>
      </c>
      <c r="O19" s="104">
        <f t="shared" ref="O19:R19" si="20">O18</f>
        <v>1844.44</v>
      </c>
      <c r="P19" s="104">
        <f t="shared" si="20"/>
        <v>1650.78</v>
      </c>
      <c r="Q19" s="104">
        <f t="shared" si="20"/>
        <v>184.44</v>
      </c>
      <c r="R19" s="104">
        <f t="shared" si="20"/>
        <v>9.22</v>
      </c>
      <c r="S19" s="104"/>
      <c r="T19" s="104">
        <f t="shared" si="3"/>
        <v>123808.3</v>
      </c>
      <c r="U19" s="104">
        <f t="shared" si="4"/>
        <v>122157.52</v>
      </c>
      <c r="V19" s="104">
        <f t="shared" si="7"/>
        <v>138333.4</v>
      </c>
      <c r="W19" s="104">
        <f t="shared" si="5"/>
        <v>136488.96</v>
      </c>
    </row>
    <row r="20">
      <c r="A20" s="106">
        <v>2.0</v>
      </c>
      <c r="B20" s="106" t="s">
        <v>9</v>
      </c>
      <c r="C20" s="106" t="s">
        <v>10</v>
      </c>
      <c r="D20" s="107" t="s">
        <v>60</v>
      </c>
      <c r="E20" s="106" t="s">
        <v>61</v>
      </c>
      <c r="F20" s="106" t="s">
        <v>19</v>
      </c>
      <c r="G20" s="107" t="s">
        <v>62</v>
      </c>
      <c r="H20" s="108">
        <v>148570.0</v>
      </c>
      <c r="I20" s="106">
        <v>100003.0</v>
      </c>
      <c r="J20" s="7"/>
      <c r="K20" s="7"/>
      <c r="L20" s="7"/>
      <c r="M20" s="54">
        <v>17.0</v>
      </c>
      <c r="N20" s="103" t="s">
        <v>191</v>
      </c>
      <c r="O20" s="104">
        <f t="shared" ref="O20:R20" si="21">O19</f>
        <v>1844.44</v>
      </c>
      <c r="P20" s="104">
        <f t="shared" si="21"/>
        <v>1650.78</v>
      </c>
      <c r="Q20" s="104">
        <f t="shared" si="21"/>
        <v>184.44</v>
      </c>
      <c r="R20" s="104">
        <f t="shared" si="21"/>
        <v>9.22</v>
      </c>
      <c r="S20" s="104"/>
      <c r="T20" s="104">
        <f t="shared" si="3"/>
        <v>122157.52</v>
      </c>
      <c r="U20" s="104">
        <f t="shared" si="4"/>
        <v>120506.74</v>
      </c>
      <c r="V20" s="104">
        <f t="shared" si="7"/>
        <v>136488.96</v>
      </c>
      <c r="W20" s="104">
        <f t="shared" si="5"/>
        <v>134644.52</v>
      </c>
    </row>
    <row r="21">
      <c r="A21" s="43" t="s">
        <v>192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54">
        <v>19.0</v>
      </c>
      <c r="N21" s="103" t="s">
        <v>193</v>
      </c>
      <c r="O21" s="104">
        <f t="shared" ref="O21:R21" si="22">O20</f>
        <v>1844.44</v>
      </c>
      <c r="P21" s="104">
        <f t="shared" si="22"/>
        <v>1650.78</v>
      </c>
      <c r="Q21" s="104">
        <f t="shared" si="22"/>
        <v>184.44</v>
      </c>
      <c r="R21" s="104">
        <f t="shared" si="22"/>
        <v>9.22</v>
      </c>
      <c r="S21" s="104"/>
      <c r="T21" s="104">
        <f t="shared" si="3"/>
        <v>120506.74</v>
      </c>
      <c r="U21" s="104">
        <f t="shared" si="4"/>
        <v>118855.96</v>
      </c>
      <c r="V21" s="104">
        <f t="shared" si="7"/>
        <v>134644.52</v>
      </c>
      <c r="W21" s="104">
        <f t="shared" si="5"/>
        <v>132800.08</v>
      </c>
    </row>
    <row r="22">
      <c r="A22" s="7"/>
      <c r="B22" s="7"/>
      <c r="C22" s="31" t="s">
        <v>57</v>
      </c>
      <c r="D22" s="102" t="s">
        <v>194</v>
      </c>
      <c r="E22" s="34" t="s">
        <v>187</v>
      </c>
      <c r="F22" s="7"/>
      <c r="G22" s="7"/>
      <c r="H22" s="7"/>
      <c r="I22" s="89"/>
      <c r="J22" s="7"/>
      <c r="K22" s="7"/>
      <c r="L22" s="7"/>
      <c r="M22" s="54">
        <v>20.0</v>
      </c>
      <c r="N22" s="103" t="s">
        <v>118</v>
      </c>
      <c r="O22" s="104">
        <f t="shared" ref="O22:R22" si="23">O21</f>
        <v>1844.44</v>
      </c>
      <c r="P22" s="104">
        <f t="shared" si="23"/>
        <v>1650.78</v>
      </c>
      <c r="Q22" s="104">
        <f t="shared" si="23"/>
        <v>184.44</v>
      </c>
      <c r="R22" s="104">
        <f t="shared" si="23"/>
        <v>9.22</v>
      </c>
      <c r="S22" s="104"/>
      <c r="T22" s="104">
        <f t="shared" si="3"/>
        <v>118855.96</v>
      </c>
      <c r="U22" s="104">
        <f t="shared" si="4"/>
        <v>117205.18</v>
      </c>
      <c r="V22" s="104">
        <f t="shared" si="7"/>
        <v>132800.08</v>
      </c>
      <c r="W22" s="104">
        <f t="shared" si="5"/>
        <v>130955.64</v>
      </c>
    </row>
    <row r="23">
      <c r="A23" s="92" t="s">
        <v>0</v>
      </c>
      <c r="B23" s="92" t="s">
        <v>1</v>
      </c>
      <c r="C23" s="92" t="s">
        <v>2</v>
      </c>
      <c r="D23" s="92" t="s">
        <v>3</v>
      </c>
      <c r="E23" s="92" t="s">
        <v>4</v>
      </c>
      <c r="F23" s="92" t="s">
        <v>5</v>
      </c>
      <c r="G23" s="92" t="s">
        <v>6</v>
      </c>
      <c r="H23" s="92" t="s">
        <v>7</v>
      </c>
      <c r="I23" s="9" t="s">
        <v>8</v>
      </c>
      <c r="J23" s="7"/>
      <c r="K23" s="7"/>
      <c r="L23" s="7"/>
      <c r="M23" s="54">
        <v>21.0</v>
      </c>
      <c r="N23" s="103">
        <v>45662.0</v>
      </c>
      <c r="O23" s="104">
        <f t="shared" ref="O23:R23" si="24">O22</f>
        <v>1844.44</v>
      </c>
      <c r="P23" s="104">
        <f t="shared" si="24"/>
        <v>1650.78</v>
      </c>
      <c r="Q23" s="104">
        <f t="shared" si="24"/>
        <v>184.44</v>
      </c>
      <c r="R23" s="104">
        <f t="shared" si="24"/>
        <v>9.22</v>
      </c>
      <c r="S23" s="104"/>
      <c r="T23" s="104">
        <f t="shared" si="3"/>
        <v>117205.18</v>
      </c>
      <c r="U23" s="104">
        <f t="shared" si="4"/>
        <v>115554.4</v>
      </c>
      <c r="V23" s="104">
        <f t="shared" si="7"/>
        <v>130955.64</v>
      </c>
      <c r="W23" s="104">
        <f t="shared" si="5"/>
        <v>129111.2</v>
      </c>
    </row>
    <row r="24">
      <c r="A24" s="106">
        <v>3.0</v>
      </c>
      <c r="B24" s="14" t="s">
        <v>66</v>
      </c>
      <c r="C24" s="106" t="s">
        <v>10</v>
      </c>
      <c r="D24" s="107" t="s">
        <v>195</v>
      </c>
      <c r="E24" s="106" t="s">
        <v>18</v>
      </c>
      <c r="F24" s="106" t="s">
        <v>19</v>
      </c>
      <c r="G24" s="107" t="s">
        <v>196</v>
      </c>
      <c r="H24" s="108">
        <f>Q4</f>
        <v>184.44</v>
      </c>
      <c r="I24" s="106">
        <v>300012.0</v>
      </c>
      <c r="J24" s="7"/>
      <c r="K24" s="7"/>
      <c r="L24" s="7"/>
      <c r="M24" s="54">
        <v>22.0</v>
      </c>
      <c r="N24" s="103">
        <v>45693.0</v>
      </c>
      <c r="O24" s="104">
        <f t="shared" ref="O24:R24" si="25">O23</f>
        <v>1844.44</v>
      </c>
      <c r="P24" s="104">
        <f t="shared" si="25"/>
        <v>1650.78</v>
      </c>
      <c r="Q24" s="104">
        <f t="shared" si="25"/>
        <v>184.44</v>
      </c>
      <c r="R24" s="104">
        <f t="shared" si="25"/>
        <v>9.22</v>
      </c>
      <c r="S24" s="104"/>
      <c r="T24" s="104">
        <f t="shared" si="3"/>
        <v>115554.4</v>
      </c>
      <c r="U24" s="104">
        <f t="shared" si="4"/>
        <v>113903.62</v>
      </c>
      <c r="V24" s="104">
        <f t="shared" si="7"/>
        <v>129111.2</v>
      </c>
      <c r="W24" s="104">
        <f t="shared" si="5"/>
        <v>127266.76</v>
      </c>
    </row>
    <row r="25">
      <c r="A25" s="106">
        <v>3.0</v>
      </c>
      <c r="B25" s="14" t="s">
        <v>66</v>
      </c>
      <c r="C25" s="106" t="s">
        <v>10</v>
      </c>
      <c r="D25" s="107" t="str">
        <f t="shared" ref="D25:E25" si="26">D10</f>
        <v>Deferred Processing fee revenue </v>
      </c>
      <c r="E25" s="107" t="str">
        <f t="shared" si="26"/>
        <v>Current Liability</v>
      </c>
      <c r="F25" s="106" t="s">
        <v>13</v>
      </c>
      <c r="G25" s="107" t="str">
        <f>G10</f>
        <v>Deferred Processing fee income</v>
      </c>
      <c r="H25" s="108">
        <f>H24</f>
        <v>184.44</v>
      </c>
      <c r="I25" s="109">
        <v>200084.0</v>
      </c>
      <c r="J25" s="7"/>
      <c r="K25" s="7"/>
      <c r="L25" s="7"/>
      <c r="M25" s="54">
        <v>23.0</v>
      </c>
      <c r="N25" s="103">
        <v>45721.0</v>
      </c>
      <c r="O25" s="104">
        <f t="shared" ref="O25:R25" si="27">O24</f>
        <v>1844.44</v>
      </c>
      <c r="P25" s="104">
        <f t="shared" si="27"/>
        <v>1650.78</v>
      </c>
      <c r="Q25" s="104">
        <f t="shared" si="27"/>
        <v>184.44</v>
      </c>
      <c r="R25" s="104">
        <f t="shared" si="27"/>
        <v>9.22</v>
      </c>
      <c r="S25" s="104"/>
      <c r="T25" s="104">
        <f t="shared" si="3"/>
        <v>113903.62</v>
      </c>
      <c r="U25" s="104">
        <f t="shared" si="4"/>
        <v>112252.84</v>
      </c>
      <c r="V25" s="104">
        <f t="shared" si="7"/>
        <v>127266.76</v>
      </c>
      <c r="W25" s="104">
        <f t="shared" si="5"/>
        <v>125422.32</v>
      </c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54">
        <v>24.0</v>
      </c>
      <c r="N26" s="103">
        <v>45752.0</v>
      </c>
      <c r="O26" s="104">
        <f t="shared" ref="O26:R26" si="28">O25</f>
        <v>1844.44</v>
      </c>
      <c r="P26" s="104">
        <f t="shared" si="28"/>
        <v>1650.78</v>
      </c>
      <c r="Q26" s="104">
        <f t="shared" si="28"/>
        <v>184.44</v>
      </c>
      <c r="R26" s="104">
        <f t="shared" si="28"/>
        <v>9.22</v>
      </c>
      <c r="S26" s="104"/>
      <c r="T26" s="104">
        <f t="shared" si="3"/>
        <v>112252.84</v>
      </c>
      <c r="U26" s="104">
        <f t="shared" si="4"/>
        <v>110602.06</v>
      </c>
      <c r="V26" s="104">
        <f t="shared" si="7"/>
        <v>125422.32</v>
      </c>
      <c r="W26" s="104">
        <f t="shared" si="5"/>
        <v>123577.88</v>
      </c>
    </row>
    <row r="27">
      <c r="A27" s="7"/>
      <c r="B27" s="7"/>
      <c r="C27" s="112" t="s">
        <v>52</v>
      </c>
      <c r="D27" s="29" t="s">
        <v>64</v>
      </c>
      <c r="E27" s="7"/>
      <c r="F27" s="7"/>
      <c r="G27" s="7"/>
      <c r="H27" s="19"/>
      <c r="I27" s="7"/>
      <c r="J27" s="7"/>
      <c r="K27" s="7"/>
      <c r="L27" s="7"/>
      <c r="M27" s="54">
        <v>25.0</v>
      </c>
      <c r="N27" s="103">
        <v>45782.0</v>
      </c>
      <c r="O27" s="104">
        <f t="shared" ref="O27:R27" si="29">O26</f>
        <v>1844.44</v>
      </c>
      <c r="P27" s="104">
        <f t="shared" si="29"/>
        <v>1650.78</v>
      </c>
      <c r="Q27" s="104">
        <f t="shared" si="29"/>
        <v>184.44</v>
      </c>
      <c r="R27" s="104">
        <f t="shared" si="29"/>
        <v>9.22</v>
      </c>
      <c r="S27" s="104"/>
      <c r="T27" s="104">
        <f t="shared" si="3"/>
        <v>110602.06</v>
      </c>
      <c r="U27" s="104">
        <f t="shared" si="4"/>
        <v>108951.28</v>
      </c>
      <c r="V27" s="104">
        <f t="shared" si="7"/>
        <v>123577.88</v>
      </c>
      <c r="W27" s="104">
        <f t="shared" si="5"/>
        <v>121733.44</v>
      </c>
    </row>
    <row r="28">
      <c r="A28" s="7"/>
      <c r="B28" s="7"/>
      <c r="C28" s="31" t="s">
        <v>57</v>
      </c>
      <c r="D28" s="32" t="s">
        <v>65</v>
      </c>
      <c r="E28" s="33"/>
      <c r="F28" s="7"/>
      <c r="G28" s="7"/>
      <c r="H28" s="7"/>
      <c r="I28" s="7"/>
      <c r="J28" s="7"/>
      <c r="K28" s="7"/>
      <c r="L28" s="7"/>
      <c r="M28" s="54">
        <v>26.0</v>
      </c>
      <c r="N28" s="103">
        <v>45813.0</v>
      </c>
      <c r="O28" s="104">
        <f t="shared" ref="O28:R28" si="30">O27</f>
        <v>1844.44</v>
      </c>
      <c r="P28" s="104">
        <f t="shared" si="30"/>
        <v>1650.78</v>
      </c>
      <c r="Q28" s="104">
        <f t="shared" si="30"/>
        <v>184.44</v>
      </c>
      <c r="R28" s="104">
        <f t="shared" si="30"/>
        <v>9.22</v>
      </c>
      <c r="S28" s="104"/>
      <c r="T28" s="104">
        <f t="shared" si="3"/>
        <v>108951.28</v>
      </c>
      <c r="U28" s="104">
        <f t="shared" si="4"/>
        <v>107300.5</v>
      </c>
      <c r="V28" s="104">
        <f t="shared" si="7"/>
        <v>121733.44</v>
      </c>
      <c r="W28" s="104">
        <f t="shared" si="5"/>
        <v>119889</v>
      </c>
    </row>
    <row r="29">
      <c r="A29" s="9" t="s">
        <v>40</v>
      </c>
      <c r="B29" s="9" t="s">
        <v>1</v>
      </c>
      <c r="C29" s="9" t="s">
        <v>2</v>
      </c>
      <c r="D29" s="9" t="s">
        <v>3</v>
      </c>
      <c r="E29" s="20"/>
      <c r="F29" s="9" t="s">
        <v>5</v>
      </c>
      <c r="G29" s="9" t="s">
        <v>6</v>
      </c>
      <c r="H29" s="9" t="s">
        <v>7</v>
      </c>
      <c r="I29" s="10" t="s">
        <v>8</v>
      </c>
      <c r="J29" s="7"/>
      <c r="K29" s="7"/>
      <c r="L29" s="7"/>
      <c r="M29" s="54">
        <v>27.0</v>
      </c>
      <c r="N29" s="103">
        <v>45843.0</v>
      </c>
      <c r="O29" s="104">
        <f t="shared" ref="O29:R29" si="31">O28</f>
        <v>1844.44</v>
      </c>
      <c r="P29" s="104">
        <f t="shared" si="31"/>
        <v>1650.78</v>
      </c>
      <c r="Q29" s="104">
        <f t="shared" si="31"/>
        <v>184.44</v>
      </c>
      <c r="R29" s="104">
        <f t="shared" si="31"/>
        <v>9.22</v>
      </c>
      <c r="S29" s="104"/>
      <c r="T29" s="104">
        <f t="shared" si="3"/>
        <v>107300.5</v>
      </c>
      <c r="U29" s="104">
        <f t="shared" si="4"/>
        <v>105649.72</v>
      </c>
      <c r="V29" s="104">
        <f t="shared" si="7"/>
        <v>119889</v>
      </c>
      <c r="W29" s="104">
        <f t="shared" si="5"/>
        <v>118044.56</v>
      </c>
    </row>
    <row r="30">
      <c r="A30" s="12">
        <v>3.0</v>
      </c>
      <c r="B30" s="14" t="s">
        <v>52</v>
      </c>
      <c r="C30" s="14" t="s">
        <v>10</v>
      </c>
      <c r="D30" s="15" t="s">
        <v>79</v>
      </c>
      <c r="E30" s="14" t="s">
        <v>12</v>
      </c>
      <c r="F30" s="14" t="s">
        <v>13</v>
      </c>
      <c r="G30" s="15" t="s">
        <v>197</v>
      </c>
      <c r="H30" s="113">
        <v>149213.49</v>
      </c>
      <c r="I30" s="17">
        <v>100062.0</v>
      </c>
      <c r="J30" s="7"/>
      <c r="K30" s="7"/>
      <c r="L30" s="7"/>
      <c r="M30" s="54">
        <v>28.0</v>
      </c>
      <c r="N30" s="103">
        <v>45874.0</v>
      </c>
      <c r="O30" s="104">
        <f t="shared" ref="O30:R30" si="32">O29</f>
        <v>1844.44</v>
      </c>
      <c r="P30" s="104">
        <f t="shared" si="32"/>
        <v>1650.78</v>
      </c>
      <c r="Q30" s="104">
        <f t="shared" si="32"/>
        <v>184.44</v>
      </c>
      <c r="R30" s="104">
        <f t="shared" si="32"/>
        <v>9.22</v>
      </c>
      <c r="S30" s="104"/>
      <c r="T30" s="104">
        <f t="shared" si="3"/>
        <v>105649.72</v>
      </c>
      <c r="U30" s="104">
        <f t="shared" si="4"/>
        <v>103998.94</v>
      </c>
      <c r="V30" s="104">
        <f t="shared" si="7"/>
        <v>118044.56</v>
      </c>
      <c r="W30" s="104">
        <f t="shared" si="5"/>
        <v>116200.12</v>
      </c>
    </row>
    <row r="31">
      <c r="A31" s="12">
        <v>3.0</v>
      </c>
      <c r="B31" s="14" t="s">
        <v>52</v>
      </c>
      <c r="C31" s="14" t="s">
        <v>10</v>
      </c>
      <c r="D31" s="15" t="s">
        <v>198</v>
      </c>
      <c r="E31" s="15" t="s">
        <v>22</v>
      </c>
      <c r="F31" s="15" t="s">
        <v>19</v>
      </c>
      <c r="G31" s="15" t="s">
        <v>197</v>
      </c>
      <c r="H31" s="16">
        <f>H30</f>
        <v>149213.49</v>
      </c>
      <c r="I31" s="17" t="s">
        <v>199</v>
      </c>
      <c r="J31" s="7"/>
      <c r="K31" s="7"/>
      <c r="L31" s="7"/>
      <c r="M31" s="54">
        <v>29.0</v>
      </c>
      <c r="N31" s="103">
        <v>45905.0</v>
      </c>
      <c r="O31" s="104">
        <f t="shared" ref="O31:R31" si="33">O30</f>
        <v>1844.44</v>
      </c>
      <c r="P31" s="104">
        <f t="shared" si="33"/>
        <v>1650.78</v>
      </c>
      <c r="Q31" s="104">
        <f t="shared" si="33"/>
        <v>184.44</v>
      </c>
      <c r="R31" s="104">
        <f t="shared" si="33"/>
        <v>9.22</v>
      </c>
      <c r="S31" s="104"/>
      <c r="T31" s="104">
        <f t="shared" si="3"/>
        <v>103998.94</v>
      </c>
      <c r="U31" s="104">
        <f t="shared" si="4"/>
        <v>102348.16</v>
      </c>
      <c r="V31" s="104">
        <f t="shared" si="7"/>
        <v>116200.12</v>
      </c>
      <c r="W31" s="104">
        <f t="shared" si="5"/>
        <v>114355.68</v>
      </c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54">
        <v>30.0</v>
      </c>
      <c r="N32" s="103">
        <v>45935.0</v>
      </c>
      <c r="O32" s="104">
        <f t="shared" ref="O32:R32" si="34">O31</f>
        <v>1844.44</v>
      </c>
      <c r="P32" s="104">
        <f t="shared" si="34"/>
        <v>1650.78</v>
      </c>
      <c r="Q32" s="104">
        <f t="shared" si="34"/>
        <v>184.44</v>
      </c>
      <c r="R32" s="104">
        <f t="shared" si="34"/>
        <v>9.22</v>
      </c>
      <c r="S32" s="104"/>
      <c r="T32" s="104">
        <f t="shared" si="3"/>
        <v>102348.16</v>
      </c>
      <c r="U32" s="104">
        <f t="shared" si="4"/>
        <v>100697.38</v>
      </c>
      <c r="V32" s="104">
        <f t="shared" si="7"/>
        <v>114355.68</v>
      </c>
      <c r="W32" s="104">
        <f t="shared" si="5"/>
        <v>112511.24</v>
      </c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54">
        <v>31.0</v>
      </c>
      <c r="N33" s="103">
        <v>45966.0</v>
      </c>
      <c r="O33" s="104">
        <f t="shared" ref="O33:R33" si="35">O32</f>
        <v>1844.44</v>
      </c>
      <c r="P33" s="104">
        <f t="shared" si="35"/>
        <v>1650.78</v>
      </c>
      <c r="Q33" s="104">
        <f t="shared" si="35"/>
        <v>184.44</v>
      </c>
      <c r="R33" s="104">
        <f t="shared" si="35"/>
        <v>9.22</v>
      </c>
      <c r="S33" s="104"/>
      <c r="T33" s="104">
        <f t="shared" si="3"/>
        <v>100697.38</v>
      </c>
      <c r="U33" s="104">
        <f t="shared" si="4"/>
        <v>99046.6</v>
      </c>
      <c r="V33" s="104">
        <f t="shared" si="7"/>
        <v>112511.24</v>
      </c>
      <c r="W33" s="104">
        <f t="shared" si="5"/>
        <v>110666.8</v>
      </c>
    </row>
    <row r="34">
      <c r="A34" s="7"/>
      <c r="B34" s="7"/>
      <c r="C34" s="112" t="s">
        <v>200</v>
      </c>
      <c r="D34" s="29" t="s">
        <v>64</v>
      </c>
      <c r="E34" s="7"/>
      <c r="F34" s="7"/>
      <c r="G34" s="7"/>
      <c r="H34" s="19"/>
      <c r="I34" s="7"/>
      <c r="J34" s="7"/>
      <c r="K34" s="7"/>
      <c r="L34" s="7"/>
      <c r="M34" s="54">
        <v>32.0</v>
      </c>
      <c r="N34" s="103">
        <v>45996.0</v>
      </c>
      <c r="O34" s="104">
        <f t="shared" ref="O34:R34" si="36">O33</f>
        <v>1844.44</v>
      </c>
      <c r="P34" s="104">
        <f t="shared" si="36"/>
        <v>1650.78</v>
      </c>
      <c r="Q34" s="104">
        <f t="shared" si="36"/>
        <v>184.44</v>
      </c>
      <c r="R34" s="104">
        <f t="shared" si="36"/>
        <v>9.22</v>
      </c>
      <c r="S34" s="104"/>
      <c r="T34" s="104">
        <f t="shared" si="3"/>
        <v>99046.6</v>
      </c>
      <c r="U34" s="104">
        <f t="shared" si="4"/>
        <v>97395.82</v>
      </c>
      <c r="V34" s="104">
        <f t="shared" si="7"/>
        <v>110666.8</v>
      </c>
      <c r="W34" s="104">
        <f t="shared" si="5"/>
        <v>108822.36</v>
      </c>
    </row>
    <row r="35">
      <c r="A35" s="7"/>
      <c r="B35" s="7"/>
      <c r="C35" s="31" t="s">
        <v>57</v>
      </c>
      <c r="D35" s="32" t="s">
        <v>65</v>
      </c>
      <c r="E35" s="33"/>
      <c r="F35" s="7"/>
      <c r="G35" s="7"/>
      <c r="H35" s="7"/>
      <c r="I35" s="7"/>
      <c r="J35" s="7"/>
      <c r="K35" s="7"/>
      <c r="L35" s="7"/>
      <c r="M35" s="54">
        <v>33.0</v>
      </c>
      <c r="N35" s="103" t="s">
        <v>201</v>
      </c>
      <c r="O35" s="104">
        <f t="shared" ref="O35:R35" si="37">O34</f>
        <v>1844.44</v>
      </c>
      <c r="P35" s="104">
        <f t="shared" si="37"/>
        <v>1650.78</v>
      </c>
      <c r="Q35" s="104">
        <f t="shared" si="37"/>
        <v>184.44</v>
      </c>
      <c r="R35" s="104">
        <f t="shared" si="37"/>
        <v>9.22</v>
      </c>
      <c r="S35" s="104"/>
      <c r="T35" s="104">
        <f t="shared" si="3"/>
        <v>97395.82</v>
      </c>
      <c r="U35" s="104">
        <f t="shared" si="4"/>
        <v>95745.04</v>
      </c>
      <c r="V35" s="104">
        <f t="shared" si="7"/>
        <v>108822.36</v>
      </c>
      <c r="W35" s="104">
        <f t="shared" si="5"/>
        <v>106977.92</v>
      </c>
    </row>
    <row r="36">
      <c r="A36" s="9" t="s">
        <v>40</v>
      </c>
      <c r="B36" s="9" t="s">
        <v>1</v>
      </c>
      <c r="C36" s="9" t="s">
        <v>2</v>
      </c>
      <c r="D36" s="9" t="s">
        <v>3</v>
      </c>
      <c r="E36" s="20"/>
      <c r="F36" s="9" t="s">
        <v>5</v>
      </c>
      <c r="G36" s="9" t="s">
        <v>6</v>
      </c>
      <c r="H36" s="9" t="s">
        <v>7</v>
      </c>
      <c r="I36" s="10" t="s">
        <v>8</v>
      </c>
      <c r="J36" s="7"/>
      <c r="K36" s="7"/>
      <c r="L36" s="7"/>
      <c r="M36" s="54">
        <v>34.0</v>
      </c>
      <c r="N36" s="103" t="s">
        <v>202</v>
      </c>
      <c r="O36" s="104">
        <f t="shared" ref="O36:R36" si="38">O35</f>
        <v>1844.44</v>
      </c>
      <c r="P36" s="104">
        <f t="shared" si="38"/>
        <v>1650.78</v>
      </c>
      <c r="Q36" s="104">
        <f t="shared" si="38"/>
        <v>184.44</v>
      </c>
      <c r="R36" s="104">
        <f t="shared" si="38"/>
        <v>9.22</v>
      </c>
      <c r="S36" s="104"/>
      <c r="T36" s="104">
        <f t="shared" si="3"/>
        <v>95745.04</v>
      </c>
      <c r="U36" s="104">
        <f t="shared" si="4"/>
        <v>94094.26</v>
      </c>
      <c r="V36" s="104">
        <f t="shared" si="7"/>
        <v>106977.92</v>
      </c>
      <c r="W36" s="104">
        <f t="shared" si="5"/>
        <v>105133.48</v>
      </c>
    </row>
    <row r="37">
      <c r="A37" s="12">
        <v>3.0</v>
      </c>
      <c r="B37" s="15" t="s">
        <v>200</v>
      </c>
      <c r="C37" s="14" t="s">
        <v>10</v>
      </c>
      <c r="D37" s="15" t="str">
        <f>D31</f>
        <v>Factor Rate / POS - Clearing</v>
      </c>
      <c r="E37" s="15" t="s">
        <v>22</v>
      </c>
      <c r="F37" s="15" t="s">
        <v>13</v>
      </c>
      <c r="G37" s="15" t="s">
        <v>83</v>
      </c>
      <c r="H37" s="113">
        <v>149213.49</v>
      </c>
      <c r="I37" s="17" t="s">
        <v>199</v>
      </c>
      <c r="J37" s="7"/>
      <c r="K37" s="7"/>
      <c r="L37" s="7"/>
      <c r="M37" s="54">
        <v>35.0</v>
      </c>
      <c r="N37" s="103" t="s">
        <v>203</v>
      </c>
      <c r="O37" s="104">
        <f t="shared" ref="O37:R37" si="39">O36</f>
        <v>1844.44</v>
      </c>
      <c r="P37" s="104">
        <f t="shared" si="39"/>
        <v>1650.78</v>
      </c>
      <c r="Q37" s="104">
        <f t="shared" si="39"/>
        <v>184.44</v>
      </c>
      <c r="R37" s="104">
        <f t="shared" si="39"/>
        <v>9.22</v>
      </c>
      <c r="S37" s="104"/>
      <c r="T37" s="104">
        <f t="shared" si="3"/>
        <v>94094.26</v>
      </c>
      <c r="U37" s="104">
        <f t="shared" si="4"/>
        <v>92443.48</v>
      </c>
      <c r="V37" s="104">
        <f t="shared" si="7"/>
        <v>105133.48</v>
      </c>
      <c r="W37" s="104">
        <f t="shared" si="5"/>
        <v>103289.04</v>
      </c>
    </row>
    <row r="38">
      <c r="A38" s="12">
        <v>3.0</v>
      </c>
      <c r="B38" s="15" t="s">
        <v>200</v>
      </c>
      <c r="C38" s="14" t="s">
        <v>10</v>
      </c>
      <c r="D38" s="15" t="s">
        <v>79</v>
      </c>
      <c r="E38" s="14" t="s">
        <v>12</v>
      </c>
      <c r="F38" s="15" t="s">
        <v>19</v>
      </c>
      <c r="G38" s="15" t="s">
        <v>83</v>
      </c>
      <c r="H38" s="16">
        <f>H37</f>
        <v>149213.49</v>
      </c>
      <c r="I38" s="17">
        <v>100062.0</v>
      </c>
      <c r="J38" s="7"/>
      <c r="K38" s="7"/>
      <c r="L38" s="7"/>
      <c r="M38" s="54">
        <v>36.0</v>
      </c>
      <c r="N38" s="103" t="s">
        <v>204</v>
      </c>
      <c r="O38" s="104">
        <f t="shared" ref="O38:R38" si="40">O37</f>
        <v>1844.44</v>
      </c>
      <c r="P38" s="104">
        <f t="shared" si="40"/>
        <v>1650.78</v>
      </c>
      <c r="Q38" s="104">
        <f t="shared" si="40"/>
        <v>184.44</v>
      </c>
      <c r="R38" s="104">
        <f t="shared" si="40"/>
        <v>9.22</v>
      </c>
      <c r="S38" s="104"/>
      <c r="T38" s="104">
        <f t="shared" si="3"/>
        <v>92443.48</v>
      </c>
      <c r="U38" s="104">
        <f t="shared" si="4"/>
        <v>90792.7</v>
      </c>
      <c r="V38" s="104">
        <f t="shared" si="7"/>
        <v>103289.04</v>
      </c>
      <c r="W38" s="104">
        <f t="shared" si="5"/>
        <v>101444.6</v>
      </c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54">
        <v>37.0</v>
      </c>
      <c r="N39" s="103" t="s">
        <v>205</v>
      </c>
      <c r="O39" s="104">
        <f t="shared" ref="O39:R39" si="41">O38</f>
        <v>1844.44</v>
      </c>
      <c r="P39" s="104">
        <f t="shared" si="41"/>
        <v>1650.78</v>
      </c>
      <c r="Q39" s="104">
        <f t="shared" si="41"/>
        <v>184.44</v>
      </c>
      <c r="R39" s="104">
        <f t="shared" si="41"/>
        <v>9.22</v>
      </c>
      <c r="S39" s="104"/>
      <c r="T39" s="104">
        <f t="shared" si="3"/>
        <v>90792.7</v>
      </c>
      <c r="U39" s="104">
        <f t="shared" si="4"/>
        <v>89141.92</v>
      </c>
      <c r="V39" s="104">
        <f t="shared" si="7"/>
        <v>101444.6</v>
      </c>
      <c r="W39" s="104">
        <f t="shared" si="5"/>
        <v>99600.16</v>
      </c>
    </row>
    <row r="40">
      <c r="A40" s="43" t="s">
        <v>206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54">
        <v>38.0</v>
      </c>
      <c r="N40" s="103" t="s">
        <v>207</v>
      </c>
      <c r="O40" s="104">
        <f t="shared" ref="O40:R40" si="42">O39</f>
        <v>1844.44</v>
      </c>
      <c r="P40" s="104">
        <f t="shared" si="42"/>
        <v>1650.78</v>
      </c>
      <c r="Q40" s="104">
        <f t="shared" si="42"/>
        <v>184.44</v>
      </c>
      <c r="R40" s="104">
        <f t="shared" si="42"/>
        <v>9.22</v>
      </c>
      <c r="S40" s="104"/>
      <c r="T40" s="104">
        <f t="shared" si="3"/>
        <v>89141.92</v>
      </c>
      <c r="U40" s="104">
        <f t="shared" si="4"/>
        <v>87491.14</v>
      </c>
      <c r="V40" s="104">
        <f t="shared" si="7"/>
        <v>99600.16</v>
      </c>
      <c r="W40" s="104">
        <f t="shared" si="5"/>
        <v>97755.72</v>
      </c>
    </row>
    <row r="41">
      <c r="A41" s="7"/>
      <c r="B41" s="101" t="s">
        <v>57</v>
      </c>
      <c r="C41" s="102" t="s">
        <v>86</v>
      </c>
      <c r="E41" s="34" t="s">
        <v>187</v>
      </c>
      <c r="F41" s="7"/>
      <c r="G41" s="7"/>
      <c r="H41" s="7"/>
      <c r="I41" s="89"/>
      <c r="J41" s="7"/>
      <c r="K41" s="7"/>
      <c r="L41" s="7"/>
      <c r="M41" s="54">
        <v>39.0</v>
      </c>
      <c r="N41" s="103" t="s">
        <v>208</v>
      </c>
      <c r="O41" s="104">
        <f t="shared" ref="O41:R41" si="43">O40</f>
        <v>1844.44</v>
      </c>
      <c r="P41" s="104">
        <f t="shared" si="43"/>
        <v>1650.78</v>
      </c>
      <c r="Q41" s="104">
        <f t="shared" si="43"/>
        <v>184.44</v>
      </c>
      <c r="R41" s="104">
        <f t="shared" si="43"/>
        <v>9.22</v>
      </c>
      <c r="S41" s="104"/>
      <c r="T41" s="104">
        <f t="shared" si="3"/>
        <v>87491.14</v>
      </c>
      <c r="U41" s="104">
        <f t="shared" si="4"/>
        <v>85840.36</v>
      </c>
      <c r="V41" s="104">
        <f t="shared" si="7"/>
        <v>97755.72</v>
      </c>
      <c r="W41" s="104">
        <f t="shared" si="5"/>
        <v>95911.28</v>
      </c>
    </row>
    <row r="42">
      <c r="A42" s="92" t="s">
        <v>0</v>
      </c>
      <c r="B42" s="92" t="s">
        <v>1</v>
      </c>
      <c r="C42" s="92" t="s">
        <v>2</v>
      </c>
      <c r="D42" s="92" t="s">
        <v>3</v>
      </c>
      <c r="E42" s="92" t="s">
        <v>4</v>
      </c>
      <c r="F42" s="92" t="s">
        <v>5</v>
      </c>
      <c r="G42" s="92" t="s">
        <v>6</v>
      </c>
      <c r="H42" s="92" t="s">
        <v>7</v>
      </c>
      <c r="I42" s="9" t="s">
        <v>8</v>
      </c>
      <c r="J42" s="7"/>
      <c r="K42" s="7"/>
      <c r="L42" s="7"/>
      <c r="M42" s="54">
        <v>40.0</v>
      </c>
      <c r="N42" s="103" t="s">
        <v>209</v>
      </c>
      <c r="O42" s="104">
        <f t="shared" ref="O42:R42" si="44">O41</f>
        <v>1844.44</v>
      </c>
      <c r="P42" s="104">
        <f t="shared" si="44"/>
        <v>1650.78</v>
      </c>
      <c r="Q42" s="104">
        <f t="shared" si="44"/>
        <v>184.44</v>
      </c>
      <c r="R42" s="104">
        <f t="shared" si="44"/>
        <v>9.22</v>
      </c>
      <c r="S42" s="104"/>
      <c r="T42" s="104">
        <f t="shared" si="3"/>
        <v>85840.36</v>
      </c>
      <c r="U42" s="104">
        <f t="shared" si="4"/>
        <v>84189.58</v>
      </c>
      <c r="V42" s="104">
        <f t="shared" si="7"/>
        <v>95911.28</v>
      </c>
      <c r="W42" s="104">
        <f t="shared" si="5"/>
        <v>94066.84</v>
      </c>
    </row>
    <row r="43">
      <c r="A43" s="106">
        <v>4.0</v>
      </c>
      <c r="B43" s="106" t="s">
        <v>52</v>
      </c>
      <c r="C43" s="106" t="s">
        <v>10</v>
      </c>
      <c r="D43" s="107" t="s">
        <v>210</v>
      </c>
      <c r="E43" s="107" t="s">
        <v>12</v>
      </c>
      <c r="F43" s="106" t="s">
        <v>13</v>
      </c>
      <c r="G43" s="107" t="s">
        <v>90</v>
      </c>
      <c r="H43" s="108">
        <f>O4</f>
        <v>1844.44</v>
      </c>
      <c r="I43" s="106">
        <v>100062.0</v>
      </c>
      <c r="J43" s="7"/>
      <c r="K43" s="7"/>
      <c r="L43" s="7"/>
      <c r="M43" s="54">
        <v>41.0</v>
      </c>
      <c r="N43" s="103" t="s">
        <v>211</v>
      </c>
      <c r="O43" s="104">
        <f t="shared" ref="O43:R43" si="45">O42</f>
        <v>1844.44</v>
      </c>
      <c r="P43" s="104">
        <f t="shared" si="45"/>
        <v>1650.78</v>
      </c>
      <c r="Q43" s="104">
        <f t="shared" si="45"/>
        <v>184.44</v>
      </c>
      <c r="R43" s="104">
        <f t="shared" si="45"/>
        <v>9.22</v>
      </c>
      <c r="S43" s="104"/>
      <c r="T43" s="104">
        <f t="shared" si="3"/>
        <v>84189.58</v>
      </c>
      <c r="U43" s="104">
        <f t="shared" si="4"/>
        <v>82538.8</v>
      </c>
      <c r="V43" s="104">
        <f t="shared" si="7"/>
        <v>94066.84</v>
      </c>
      <c r="W43" s="104">
        <f t="shared" si="5"/>
        <v>92222.4</v>
      </c>
    </row>
    <row r="44">
      <c r="A44" s="106">
        <v>4.0</v>
      </c>
      <c r="B44" s="106" t="s">
        <v>52</v>
      </c>
      <c r="C44" s="106" t="s">
        <v>10</v>
      </c>
      <c r="D44" s="107" t="s">
        <v>169</v>
      </c>
      <c r="E44" s="107" t="s">
        <v>12</v>
      </c>
      <c r="F44" s="106" t="s">
        <v>19</v>
      </c>
      <c r="G44" s="114" t="s">
        <v>12</v>
      </c>
      <c r="H44" s="108">
        <f>P4</f>
        <v>1650.78</v>
      </c>
      <c r="I44" s="106">
        <v>100053.0</v>
      </c>
      <c r="J44" s="7"/>
      <c r="K44" s="7"/>
      <c r="L44" s="7"/>
      <c r="M44" s="54">
        <v>42.0</v>
      </c>
      <c r="N44" s="103" t="s">
        <v>212</v>
      </c>
      <c r="O44" s="104">
        <f t="shared" ref="O44:R44" si="46">O43</f>
        <v>1844.44</v>
      </c>
      <c r="P44" s="104">
        <f t="shared" si="46"/>
        <v>1650.78</v>
      </c>
      <c r="Q44" s="104">
        <f t="shared" si="46"/>
        <v>184.44</v>
      </c>
      <c r="R44" s="104">
        <f t="shared" si="46"/>
        <v>9.22</v>
      </c>
      <c r="S44" s="104"/>
      <c r="T44" s="104">
        <f t="shared" si="3"/>
        <v>82538.8</v>
      </c>
      <c r="U44" s="104">
        <f t="shared" si="4"/>
        <v>80888.02</v>
      </c>
      <c r="V44" s="104">
        <f t="shared" si="7"/>
        <v>92222.4</v>
      </c>
      <c r="W44" s="104">
        <f t="shared" si="5"/>
        <v>90377.96</v>
      </c>
    </row>
    <row r="45">
      <c r="A45" s="110"/>
      <c r="B45" s="106" t="s">
        <v>52</v>
      </c>
      <c r="C45" s="106" t="s">
        <v>10</v>
      </c>
      <c r="D45" s="107" t="s">
        <v>36</v>
      </c>
      <c r="E45" s="106" t="s">
        <v>22</v>
      </c>
      <c r="F45" s="106" t="s">
        <v>19</v>
      </c>
      <c r="G45" s="107" t="s">
        <v>175</v>
      </c>
      <c r="H45" s="108">
        <f>R10</f>
        <v>9.22</v>
      </c>
      <c r="I45" s="106">
        <v>200065.0</v>
      </c>
      <c r="J45" s="7"/>
      <c r="K45" s="7"/>
      <c r="L45" s="7"/>
      <c r="M45" s="54">
        <v>43.0</v>
      </c>
      <c r="N45" s="103" t="s">
        <v>213</v>
      </c>
      <c r="O45" s="104">
        <f t="shared" ref="O45:R45" si="47">O44</f>
        <v>1844.44</v>
      </c>
      <c r="P45" s="104">
        <f t="shared" si="47"/>
        <v>1650.78</v>
      </c>
      <c r="Q45" s="104">
        <f t="shared" si="47"/>
        <v>184.44</v>
      </c>
      <c r="R45" s="104">
        <f t="shared" si="47"/>
        <v>9.22</v>
      </c>
      <c r="S45" s="104"/>
      <c r="T45" s="104">
        <f t="shared" si="3"/>
        <v>80888.02</v>
      </c>
      <c r="U45" s="104">
        <f t="shared" si="4"/>
        <v>79237.24</v>
      </c>
      <c r="V45" s="104">
        <f t="shared" si="7"/>
        <v>90377.96</v>
      </c>
      <c r="W45" s="104">
        <f t="shared" si="5"/>
        <v>88533.52</v>
      </c>
    </row>
    <row r="46">
      <c r="A46" s="106">
        <v>4.0</v>
      </c>
      <c r="B46" s="106" t="s">
        <v>52</v>
      </c>
      <c r="C46" s="106" t="s">
        <v>10</v>
      </c>
      <c r="D46" s="107" t="s">
        <v>172</v>
      </c>
      <c r="E46" s="107" t="s">
        <v>12</v>
      </c>
      <c r="F46" s="106" t="s">
        <v>19</v>
      </c>
      <c r="G46" s="107" t="s">
        <v>28</v>
      </c>
      <c r="H46" s="108">
        <f>H25</f>
        <v>184.44</v>
      </c>
      <c r="I46" s="109">
        <v>100064.0</v>
      </c>
      <c r="J46" s="7"/>
      <c r="K46" s="7"/>
      <c r="L46" s="7"/>
      <c r="M46" s="54">
        <v>44.0</v>
      </c>
      <c r="N46" s="103" t="s">
        <v>214</v>
      </c>
      <c r="O46" s="104">
        <f t="shared" ref="O46:R46" si="48">O45</f>
        <v>1844.44</v>
      </c>
      <c r="P46" s="104">
        <f t="shared" si="48"/>
        <v>1650.78</v>
      </c>
      <c r="Q46" s="104">
        <f t="shared" si="48"/>
        <v>184.44</v>
      </c>
      <c r="R46" s="104">
        <f t="shared" si="48"/>
        <v>9.22</v>
      </c>
      <c r="S46" s="104"/>
      <c r="T46" s="104">
        <f t="shared" si="3"/>
        <v>79237.24</v>
      </c>
      <c r="U46" s="104">
        <f t="shared" si="4"/>
        <v>77586.46</v>
      </c>
      <c r="V46" s="104">
        <f t="shared" si="7"/>
        <v>88533.52</v>
      </c>
      <c r="W46" s="104">
        <f t="shared" si="5"/>
        <v>86689.08</v>
      </c>
    </row>
    <row r="47">
      <c r="A47" s="94" t="s">
        <v>215</v>
      </c>
      <c r="B47" s="43" t="s">
        <v>216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54">
        <v>45.0</v>
      </c>
      <c r="N47" s="103" t="s">
        <v>217</v>
      </c>
      <c r="O47" s="104">
        <f t="shared" ref="O47:R47" si="49">O46</f>
        <v>1844.44</v>
      </c>
      <c r="P47" s="104">
        <f t="shared" si="49"/>
        <v>1650.78</v>
      </c>
      <c r="Q47" s="104">
        <f t="shared" si="49"/>
        <v>184.44</v>
      </c>
      <c r="R47" s="104">
        <f t="shared" si="49"/>
        <v>9.22</v>
      </c>
      <c r="S47" s="104"/>
      <c r="T47" s="104">
        <f t="shared" si="3"/>
        <v>77586.46</v>
      </c>
      <c r="U47" s="104">
        <f t="shared" si="4"/>
        <v>75935.68</v>
      </c>
      <c r="V47" s="104">
        <f t="shared" si="7"/>
        <v>86689.08</v>
      </c>
      <c r="W47" s="104">
        <f t="shared" si="5"/>
        <v>84844.64</v>
      </c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54">
        <v>46.0</v>
      </c>
      <c r="N48" s="103" t="s">
        <v>218</v>
      </c>
      <c r="O48" s="104">
        <f t="shared" ref="O48:R48" si="50">O47</f>
        <v>1844.44</v>
      </c>
      <c r="P48" s="104">
        <f t="shared" si="50"/>
        <v>1650.78</v>
      </c>
      <c r="Q48" s="104">
        <f t="shared" si="50"/>
        <v>184.44</v>
      </c>
      <c r="R48" s="104">
        <f t="shared" si="50"/>
        <v>9.22</v>
      </c>
      <c r="S48" s="104"/>
      <c r="T48" s="104">
        <f t="shared" si="3"/>
        <v>75935.68</v>
      </c>
      <c r="U48" s="104">
        <f t="shared" si="4"/>
        <v>74284.9</v>
      </c>
      <c r="V48" s="104">
        <f t="shared" si="7"/>
        <v>84844.64</v>
      </c>
      <c r="W48" s="104">
        <f t="shared" si="5"/>
        <v>83000.2</v>
      </c>
    </row>
    <row r="49">
      <c r="A49" s="8" t="s">
        <v>219</v>
      </c>
      <c r="B49" s="7" t="s">
        <v>220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54">
        <v>47.0</v>
      </c>
      <c r="N49" s="103" t="s">
        <v>221</v>
      </c>
      <c r="O49" s="104">
        <f t="shared" ref="O49:R49" si="51">O48</f>
        <v>1844.44</v>
      </c>
      <c r="P49" s="104">
        <f t="shared" si="51"/>
        <v>1650.78</v>
      </c>
      <c r="Q49" s="104">
        <f t="shared" si="51"/>
        <v>184.44</v>
      </c>
      <c r="R49" s="104">
        <f t="shared" si="51"/>
        <v>9.22</v>
      </c>
      <c r="S49" s="104"/>
      <c r="T49" s="104">
        <f t="shared" si="3"/>
        <v>74284.9</v>
      </c>
      <c r="U49" s="104">
        <f t="shared" si="4"/>
        <v>72634.12</v>
      </c>
      <c r="V49" s="104">
        <f t="shared" si="7"/>
        <v>83000.2</v>
      </c>
      <c r="W49" s="104">
        <f t="shared" si="5"/>
        <v>81155.76</v>
      </c>
    </row>
    <row r="50">
      <c r="A50" s="7"/>
      <c r="B50" s="101" t="s">
        <v>57</v>
      </c>
      <c r="C50" s="102" t="s">
        <v>86</v>
      </c>
      <c r="E50" s="34" t="s">
        <v>187</v>
      </c>
      <c r="F50" s="7"/>
      <c r="G50" s="7"/>
      <c r="H50" s="7"/>
      <c r="I50" s="89"/>
      <c r="J50" s="7"/>
      <c r="K50" s="7"/>
      <c r="L50" s="7"/>
      <c r="M50" s="54">
        <v>48.0</v>
      </c>
      <c r="N50" s="103" t="s">
        <v>222</v>
      </c>
      <c r="O50" s="104">
        <f t="shared" ref="O50:R50" si="52">O49</f>
        <v>1844.44</v>
      </c>
      <c r="P50" s="104">
        <f t="shared" si="52"/>
        <v>1650.78</v>
      </c>
      <c r="Q50" s="104">
        <f t="shared" si="52"/>
        <v>184.44</v>
      </c>
      <c r="R50" s="104">
        <f t="shared" si="52"/>
        <v>9.22</v>
      </c>
      <c r="S50" s="104"/>
      <c r="T50" s="104">
        <f t="shared" si="3"/>
        <v>72634.12</v>
      </c>
      <c r="U50" s="104">
        <f t="shared" si="4"/>
        <v>70983.34</v>
      </c>
      <c r="V50" s="104">
        <f t="shared" si="7"/>
        <v>81155.76</v>
      </c>
      <c r="W50" s="104">
        <f t="shared" si="5"/>
        <v>79311.32</v>
      </c>
    </row>
    <row r="51">
      <c r="A51" s="92" t="s">
        <v>0</v>
      </c>
      <c r="B51" s="92" t="s">
        <v>1</v>
      </c>
      <c r="C51" s="92" t="s">
        <v>2</v>
      </c>
      <c r="D51" s="92" t="s">
        <v>3</v>
      </c>
      <c r="E51" s="92" t="s">
        <v>4</v>
      </c>
      <c r="F51" s="92" t="s">
        <v>5</v>
      </c>
      <c r="G51" s="92" t="s">
        <v>6</v>
      </c>
      <c r="H51" s="92" t="s">
        <v>7</v>
      </c>
      <c r="I51" s="9" t="s">
        <v>8</v>
      </c>
      <c r="J51" s="7"/>
      <c r="K51" s="7"/>
      <c r="L51" s="7"/>
      <c r="M51" s="54">
        <v>49.0</v>
      </c>
      <c r="N51" s="103" t="s">
        <v>223</v>
      </c>
      <c r="O51" s="104">
        <f t="shared" ref="O51:R51" si="53">O50</f>
        <v>1844.44</v>
      </c>
      <c r="P51" s="104">
        <f t="shared" si="53"/>
        <v>1650.78</v>
      </c>
      <c r="Q51" s="104">
        <f t="shared" si="53"/>
        <v>184.44</v>
      </c>
      <c r="R51" s="104">
        <f t="shared" si="53"/>
        <v>9.22</v>
      </c>
      <c r="S51" s="104"/>
      <c r="T51" s="104">
        <f t="shared" si="3"/>
        <v>70983.34</v>
      </c>
      <c r="U51" s="104">
        <f t="shared" si="4"/>
        <v>69332.56</v>
      </c>
      <c r="V51" s="104">
        <f t="shared" si="7"/>
        <v>79311.32</v>
      </c>
      <c r="W51" s="104">
        <f t="shared" si="5"/>
        <v>77466.88</v>
      </c>
    </row>
    <row r="52">
      <c r="A52" s="106">
        <v>4.0</v>
      </c>
      <c r="B52" s="106" t="s">
        <v>52</v>
      </c>
      <c r="C52" s="106" t="s">
        <v>10</v>
      </c>
      <c r="D52" s="107" t="s">
        <v>210</v>
      </c>
      <c r="E52" s="107" t="s">
        <v>12</v>
      </c>
      <c r="F52" s="106" t="s">
        <v>13</v>
      </c>
      <c r="G52" s="107" t="s">
        <v>90</v>
      </c>
      <c r="H52" s="108">
        <f>H53+H55+H56+H54</f>
        <v>3208.823562</v>
      </c>
      <c r="I52" s="106">
        <v>100062.0</v>
      </c>
      <c r="J52" s="7"/>
      <c r="K52" s="7"/>
      <c r="L52" s="7"/>
      <c r="M52" s="54">
        <v>50.0</v>
      </c>
      <c r="N52" s="103" t="s">
        <v>132</v>
      </c>
      <c r="O52" s="104">
        <f t="shared" ref="O52:R52" si="54">O51</f>
        <v>1844.44</v>
      </c>
      <c r="P52" s="104">
        <f t="shared" si="54"/>
        <v>1650.78</v>
      </c>
      <c r="Q52" s="104">
        <f t="shared" si="54"/>
        <v>184.44</v>
      </c>
      <c r="R52" s="104">
        <f t="shared" si="54"/>
        <v>9.22</v>
      </c>
      <c r="S52" s="104"/>
      <c r="T52" s="104">
        <f t="shared" si="3"/>
        <v>69332.56</v>
      </c>
      <c r="U52" s="104">
        <f t="shared" si="4"/>
        <v>67681.78</v>
      </c>
      <c r="V52" s="104">
        <f t="shared" si="7"/>
        <v>77466.88</v>
      </c>
      <c r="W52" s="104">
        <f t="shared" si="5"/>
        <v>75622.44</v>
      </c>
    </row>
    <row r="53">
      <c r="A53" s="106">
        <v>4.0</v>
      </c>
      <c r="B53" s="106" t="s">
        <v>52</v>
      </c>
      <c r="C53" s="106" t="s">
        <v>10</v>
      </c>
      <c r="D53" s="107" t="s">
        <v>169</v>
      </c>
      <c r="E53" s="107" t="s">
        <v>12</v>
      </c>
      <c r="F53" s="106" t="s">
        <v>19</v>
      </c>
      <c r="G53" s="114" t="s">
        <v>12</v>
      </c>
      <c r="H53" s="108">
        <f>P12</f>
        <v>1650.78</v>
      </c>
      <c r="I53" s="106">
        <v>100053.0</v>
      </c>
      <c r="J53" s="7"/>
      <c r="K53" s="7"/>
      <c r="L53" s="7"/>
      <c r="M53" s="54">
        <v>51.0</v>
      </c>
      <c r="N53" s="103" t="s">
        <v>139</v>
      </c>
      <c r="O53" s="104">
        <f t="shared" ref="O53:R53" si="55">O52</f>
        <v>1844.44</v>
      </c>
      <c r="P53" s="104">
        <f t="shared" si="55"/>
        <v>1650.78</v>
      </c>
      <c r="Q53" s="104">
        <f t="shared" si="55"/>
        <v>184.44</v>
      </c>
      <c r="R53" s="104">
        <f t="shared" si="55"/>
        <v>9.22</v>
      </c>
      <c r="S53" s="104"/>
      <c r="T53" s="104">
        <f t="shared" si="3"/>
        <v>67681.78</v>
      </c>
      <c r="U53" s="104">
        <f t="shared" si="4"/>
        <v>66031</v>
      </c>
      <c r="V53" s="104">
        <f t="shared" si="7"/>
        <v>75622.44</v>
      </c>
      <c r="W53" s="104">
        <f t="shared" si="5"/>
        <v>73778</v>
      </c>
    </row>
    <row r="54">
      <c r="A54" s="110"/>
      <c r="B54" s="106" t="s">
        <v>52</v>
      </c>
      <c r="C54" s="106" t="s">
        <v>10</v>
      </c>
      <c r="D54" s="107" t="s">
        <v>36</v>
      </c>
      <c r="E54" s="106" t="s">
        <v>22</v>
      </c>
      <c r="F54" s="106" t="s">
        <v>19</v>
      </c>
      <c r="G54" s="107" t="s">
        <v>175</v>
      </c>
      <c r="H54" s="108">
        <f>R19</f>
        <v>9.22</v>
      </c>
      <c r="I54" s="106">
        <v>200065.0</v>
      </c>
      <c r="J54" s="7"/>
      <c r="K54" s="7"/>
      <c r="L54" s="7"/>
      <c r="M54" s="54">
        <v>52.0</v>
      </c>
      <c r="N54" s="103">
        <v>45663.0</v>
      </c>
      <c r="O54" s="104">
        <f t="shared" ref="O54:R54" si="56">O53</f>
        <v>1844.44</v>
      </c>
      <c r="P54" s="104">
        <f t="shared" si="56"/>
        <v>1650.78</v>
      </c>
      <c r="Q54" s="104">
        <f t="shared" si="56"/>
        <v>184.44</v>
      </c>
      <c r="R54" s="104">
        <f t="shared" si="56"/>
        <v>9.22</v>
      </c>
      <c r="S54" s="104"/>
      <c r="T54" s="104">
        <f t="shared" si="3"/>
        <v>66031</v>
      </c>
      <c r="U54" s="104">
        <f t="shared" si="4"/>
        <v>64380.22</v>
      </c>
      <c r="V54" s="104">
        <f t="shared" si="7"/>
        <v>73778</v>
      </c>
      <c r="W54" s="104">
        <f t="shared" si="5"/>
        <v>71933.56</v>
      </c>
    </row>
    <row r="55">
      <c r="A55" s="106">
        <v>4.0</v>
      </c>
      <c r="B55" s="106" t="s">
        <v>52</v>
      </c>
      <c r="C55" s="106" t="s">
        <v>10</v>
      </c>
      <c r="D55" s="107" t="s">
        <v>172</v>
      </c>
      <c r="E55" s="107" t="s">
        <v>12</v>
      </c>
      <c r="F55" s="106" t="s">
        <v>19</v>
      </c>
      <c r="G55" s="107" t="s">
        <v>28</v>
      </c>
      <c r="H55" s="108">
        <f>H46</f>
        <v>184.44</v>
      </c>
      <c r="I55" s="109">
        <v>100064.0</v>
      </c>
      <c r="J55" s="7"/>
      <c r="K55" s="7"/>
      <c r="L55" s="7"/>
      <c r="M55" s="54">
        <v>53.0</v>
      </c>
      <c r="N55" s="103">
        <v>45694.0</v>
      </c>
      <c r="O55" s="104">
        <f t="shared" ref="O55:R55" si="57">O54</f>
        <v>1844.44</v>
      </c>
      <c r="P55" s="104">
        <f t="shared" si="57"/>
        <v>1650.78</v>
      </c>
      <c r="Q55" s="104">
        <f t="shared" si="57"/>
        <v>184.44</v>
      </c>
      <c r="R55" s="104">
        <f t="shared" si="57"/>
        <v>9.22</v>
      </c>
      <c r="S55" s="104"/>
      <c r="T55" s="104">
        <f t="shared" si="3"/>
        <v>64380.22</v>
      </c>
      <c r="U55" s="104">
        <f t="shared" si="4"/>
        <v>62729.44</v>
      </c>
      <c r="V55" s="104">
        <f t="shared" si="7"/>
        <v>71933.56</v>
      </c>
      <c r="W55" s="104">
        <f t="shared" si="5"/>
        <v>70089.12</v>
      </c>
    </row>
    <row r="56">
      <c r="A56" s="106">
        <v>4.0</v>
      </c>
      <c r="B56" s="106" t="s">
        <v>52</v>
      </c>
      <c r="C56" s="106" t="s">
        <v>10</v>
      </c>
      <c r="D56" s="107" t="s">
        <v>195</v>
      </c>
      <c r="E56" s="106" t="s">
        <v>18</v>
      </c>
      <c r="F56" s="106" t="s">
        <v>19</v>
      </c>
      <c r="G56" s="107" t="s">
        <v>196</v>
      </c>
      <c r="H56" s="108">
        <f>V4*5%*12/365*5</f>
        <v>1364.383562</v>
      </c>
      <c r="I56" s="106">
        <v>300012.0</v>
      </c>
      <c r="J56" s="7"/>
      <c r="K56" s="7"/>
      <c r="L56" s="7"/>
      <c r="M56" s="54">
        <v>54.0</v>
      </c>
      <c r="N56" s="103">
        <v>45722.0</v>
      </c>
      <c r="O56" s="104">
        <f t="shared" ref="O56:R56" si="58">O55</f>
        <v>1844.44</v>
      </c>
      <c r="P56" s="104">
        <f t="shared" si="58"/>
        <v>1650.78</v>
      </c>
      <c r="Q56" s="104">
        <f t="shared" si="58"/>
        <v>184.44</v>
      </c>
      <c r="R56" s="104">
        <f t="shared" si="58"/>
        <v>9.22</v>
      </c>
      <c r="S56" s="104"/>
      <c r="T56" s="104">
        <f t="shared" si="3"/>
        <v>62729.44</v>
      </c>
      <c r="U56" s="104">
        <f t="shared" si="4"/>
        <v>61078.66</v>
      </c>
      <c r="V56" s="104">
        <f t="shared" si="7"/>
        <v>70089.12</v>
      </c>
      <c r="W56" s="104">
        <f t="shared" si="5"/>
        <v>68244.68</v>
      </c>
    </row>
    <row r="57">
      <c r="A57" s="94" t="s">
        <v>215</v>
      </c>
      <c r="B57" s="43" t="s">
        <v>224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54">
        <v>55.0</v>
      </c>
      <c r="N57" s="103">
        <v>45753.0</v>
      </c>
      <c r="O57" s="104">
        <f t="shared" ref="O57:R57" si="59">O56</f>
        <v>1844.44</v>
      </c>
      <c r="P57" s="104">
        <f t="shared" si="59"/>
        <v>1650.78</v>
      </c>
      <c r="Q57" s="104">
        <f t="shared" si="59"/>
        <v>184.44</v>
      </c>
      <c r="R57" s="104">
        <f t="shared" si="59"/>
        <v>9.22</v>
      </c>
      <c r="S57" s="104"/>
      <c r="T57" s="104">
        <f t="shared" si="3"/>
        <v>61078.66</v>
      </c>
      <c r="U57" s="104">
        <f t="shared" si="4"/>
        <v>59427.88</v>
      </c>
      <c r="V57" s="104">
        <f t="shared" si="7"/>
        <v>68244.68</v>
      </c>
      <c r="W57" s="104">
        <f t="shared" si="5"/>
        <v>66400.24</v>
      </c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54">
        <v>56.0</v>
      </c>
      <c r="N58" s="103">
        <v>45783.0</v>
      </c>
      <c r="O58" s="104">
        <f t="shared" ref="O58:R58" si="60">O57</f>
        <v>1844.44</v>
      </c>
      <c r="P58" s="104">
        <f t="shared" si="60"/>
        <v>1650.78</v>
      </c>
      <c r="Q58" s="104">
        <f t="shared" si="60"/>
        <v>184.44</v>
      </c>
      <c r="R58" s="104">
        <f t="shared" si="60"/>
        <v>9.22</v>
      </c>
      <c r="S58" s="104"/>
      <c r="T58" s="104">
        <f t="shared" si="3"/>
        <v>59427.88</v>
      </c>
      <c r="U58" s="104">
        <f t="shared" si="4"/>
        <v>57777.1</v>
      </c>
      <c r="V58" s="104">
        <f t="shared" si="7"/>
        <v>66400.24</v>
      </c>
      <c r="W58" s="104">
        <f t="shared" si="5"/>
        <v>64555.8</v>
      </c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54">
        <v>57.0</v>
      </c>
      <c r="N59" s="103">
        <v>45814.0</v>
      </c>
      <c r="O59" s="104">
        <f t="shared" ref="O59:R59" si="61">O58</f>
        <v>1844.44</v>
      </c>
      <c r="P59" s="104">
        <f t="shared" si="61"/>
        <v>1650.78</v>
      </c>
      <c r="Q59" s="104">
        <f t="shared" si="61"/>
        <v>184.44</v>
      </c>
      <c r="R59" s="104">
        <f t="shared" si="61"/>
        <v>9.22</v>
      </c>
      <c r="S59" s="104"/>
      <c r="T59" s="104">
        <f t="shared" si="3"/>
        <v>57777.1</v>
      </c>
      <c r="U59" s="104">
        <f t="shared" si="4"/>
        <v>56126.32</v>
      </c>
      <c r="V59" s="104">
        <f t="shared" si="7"/>
        <v>64555.8</v>
      </c>
      <c r="W59" s="104">
        <f t="shared" si="5"/>
        <v>62711.36</v>
      </c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54">
        <v>58.0</v>
      </c>
      <c r="N60" s="103">
        <v>45844.0</v>
      </c>
      <c r="O60" s="104">
        <f t="shared" ref="O60:R60" si="62">O59</f>
        <v>1844.44</v>
      </c>
      <c r="P60" s="104">
        <f t="shared" si="62"/>
        <v>1650.78</v>
      </c>
      <c r="Q60" s="104">
        <f t="shared" si="62"/>
        <v>184.44</v>
      </c>
      <c r="R60" s="104">
        <f t="shared" si="62"/>
        <v>9.22</v>
      </c>
      <c r="S60" s="104"/>
      <c r="T60" s="104">
        <f t="shared" si="3"/>
        <v>56126.32</v>
      </c>
      <c r="U60" s="104">
        <f t="shared" si="4"/>
        <v>54475.54</v>
      </c>
      <c r="V60" s="104">
        <f t="shared" si="7"/>
        <v>62711.36</v>
      </c>
      <c r="W60" s="104">
        <f t="shared" si="5"/>
        <v>60866.92</v>
      </c>
    </row>
    <row r="61">
      <c r="A61" s="8" t="s">
        <v>225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54">
        <v>59.0</v>
      </c>
      <c r="N61" s="103">
        <v>45875.0</v>
      </c>
      <c r="O61" s="104">
        <f t="shared" ref="O61:R61" si="63">O60</f>
        <v>1844.44</v>
      </c>
      <c r="P61" s="104">
        <f t="shared" si="63"/>
        <v>1650.78</v>
      </c>
      <c r="Q61" s="104">
        <f t="shared" si="63"/>
        <v>184.44</v>
      </c>
      <c r="R61" s="104">
        <f t="shared" si="63"/>
        <v>9.22</v>
      </c>
      <c r="S61" s="104"/>
      <c r="T61" s="104">
        <f t="shared" si="3"/>
        <v>54475.54</v>
      </c>
      <c r="U61" s="104">
        <f t="shared" si="4"/>
        <v>52824.76</v>
      </c>
      <c r="V61" s="104">
        <f t="shared" si="7"/>
        <v>60866.92</v>
      </c>
      <c r="W61" s="104">
        <f t="shared" si="5"/>
        <v>59022.48</v>
      </c>
    </row>
    <row r="62">
      <c r="A62" s="7"/>
      <c r="B62" s="101" t="s">
        <v>57</v>
      </c>
      <c r="C62" s="102" t="s">
        <v>86</v>
      </c>
      <c r="E62" s="34" t="s">
        <v>187</v>
      </c>
      <c r="F62" s="7"/>
      <c r="G62" s="7"/>
      <c r="H62" s="7"/>
      <c r="I62" s="89"/>
      <c r="J62" s="7"/>
      <c r="K62" s="7"/>
      <c r="L62" s="7"/>
      <c r="M62" s="54">
        <v>60.0</v>
      </c>
      <c r="N62" s="103">
        <v>45906.0</v>
      </c>
      <c r="O62" s="104">
        <f t="shared" ref="O62:R62" si="64">O61</f>
        <v>1844.44</v>
      </c>
      <c r="P62" s="104">
        <f t="shared" si="64"/>
        <v>1650.78</v>
      </c>
      <c r="Q62" s="104">
        <f t="shared" si="64"/>
        <v>184.44</v>
      </c>
      <c r="R62" s="104">
        <f t="shared" si="64"/>
        <v>9.22</v>
      </c>
      <c r="S62" s="104"/>
      <c r="T62" s="104">
        <f t="shared" si="3"/>
        <v>52824.76</v>
      </c>
      <c r="U62" s="104">
        <f t="shared" si="4"/>
        <v>51173.98</v>
      </c>
      <c r="V62" s="104">
        <f t="shared" si="7"/>
        <v>59022.48</v>
      </c>
      <c r="W62" s="104">
        <f t="shared" si="5"/>
        <v>57178.04</v>
      </c>
    </row>
    <row r="63">
      <c r="A63" s="92" t="s">
        <v>0</v>
      </c>
      <c r="B63" s="92" t="s">
        <v>1</v>
      </c>
      <c r="C63" s="92" t="s">
        <v>2</v>
      </c>
      <c r="D63" s="92" t="s">
        <v>3</v>
      </c>
      <c r="E63" s="92" t="s">
        <v>4</v>
      </c>
      <c r="F63" s="92" t="s">
        <v>5</v>
      </c>
      <c r="G63" s="92" t="s">
        <v>6</v>
      </c>
      <c r="H63" s="92" t="s">
        <v>7</v>
      </c>
      <c r="I63" s="9" t="s">
        <v>8</v>
      </c>
      <c r="J63" s="7"/>
      <c r="K63" s="7"/>
      <c r="L63" s="7"/>
      <c r="M63" s="54">
        <v>61.0</v>
      </c>
      <c r="N63" s="103">
        <v>45936.0</v>
      </c>
      <c r="O63" s="104">
        <f t="shared" ref="O63:R63" si="65">O62</f>
        <v>1844.44</v>
      </c>
      <c r="P63" s="104">
        <f t="shared" si="65"/>
        <v>1650.78</v>
      </c>
      <c r="Q63" s="104">
        <f t="shared" si="65"/>
        <v>184.44</v>
      </c>
      <c r="R63" s="104">
        <f t="shared" si="65"/>
        <v>9.22</v>
      </c>
      <c r="S63" s="104"/>
      <c r="T63" s="104">
        <f t="shared" si="3"/>
        <v>51173.98</v>
      </c>
      <c r="U63" s="104">
        <f t="shared" si="4"/>
        <v>49523.2</v>
      </c>
      <c r="V63" s="104">
        <f t="shared" si="7"/>
        <v>57178.04</v>
      </c>
      <c r="W63" s="104">
        <f t="shared" si="5"/>
        <v>55333.6</v>
      </c>
    </row>
    <row r="64">
      <c r="A64" s="106">
        <v>4.0</v>
      </c>
      <c r="B64" s="106" t="s">
        <v>52</v>
      </c>
      <c r="C64" s="106" t="s">
        <v>10</v>
      </c>
      <c r="D64" s="107" t="s">
        <v>210</v>
      </c>
      <c r="E64" s="107" t="s">
        <v>12</v>
      </c>
      <c r="F64" s="106" t="s">
        <v>13</v>
      </c>
      <c r="G64" s="107" t="s">
        <v>90</v>
      </c>
      <c r="H64" s="108">
        <f>H65+H67+H66</f>
        <v>1844.44</v>
      </c>
      <c r="I64" s="106">
        <v>100062.0</v>
      </c>
      <c r="J64" s="7"/>
      <c r="K64" s="7"/>
      <c r="L64" s="7"/>
      <c r="M64" s="54">
        <v>62.0</v>
      </c>
      <c r="N64" s="103">
        <v>45967.0</v>
      </c>
      <c r="O64" s="104">
        <f t="shared" ref="O64:R64" si="66">O63</f>
        <v>1844.44</v>
      </c>
      <c r="P64" s="104">
        <f t="shared" si="66"/>
        <v>1650.78</v>
      </c>
      <c r="Q64" s="104">
        <f t="shared" si="66"/>
        <v>184.44</v>
      </c>
      <c r="R64" s="104">
        <f t="shared" si="66"/>
        <v>9.22</v>
      </c>
      <c r="S64" s="104"/>
      <c r="T64" s="104">
        <f t="shared" si="3"/>
        <v>49523.2</v>
      </c>
      <c r="U64" s="104">
        <f t="shared" si="4"/>
        <v>47872.42</v>
      </c>
      <c r="V64" s="104">
        <f t="shared" si="7"/>
        <v>55333.6</v>
      </c>
      <c r="W64" s="104">
        <f t="shared" si="5"/>
        <v>53489.16</v>
      </c>
    </row>
    <row r="65">
      <c r="A65" s="106">
        <v>4.0</v>
      </c>
      <c r="B65" s="106" t="s">
        <v>52</v>
      </c>
      <c r="C65" s="106" t="s">
        <v>10</v>
      </c>
      <c r="D65" s="107" t="s">
        <v>169</v>
      </c>
      <c r="E65" s="107" t="s">
        <v>12</v>
      </c>
      <c r="F65" s="106" t="s">
        <v>19</v>
      </c>
      <c r="G65" s="114" t="s">
        <v>12</v>
      </c>
      <c r="H65" s="108">
        <f t="shared" ref="H65:H67" si="68">H53</f>
        <v>1650.78</v>
      </c>
      <c r="I65" s="106">
        <v>100053.0</v>
      </c>
      <c r="J65" s="7"/>
      <c r="K65" s="7"/>
      <c r="L65" s="7"/>
      <c r="M65" s="54">
        <v>63.0</v>
      </c>
      <c r="N65" s="103">
        <v>45997.0</v>
      </c>
      <c r="O65" s="104">
        <f t="shared" ref="O65:R65" si="67">O64</f>
        <v>1844.44</v>
      </c>
      <c r="P65" s="104">
        <f t="shared" si="67"/>
        <v>1650.78</v>
      </c>
      <c r="Q65" s="104">
        <f t="shared" si="67"/>
        <v>184.44</v>
      </c>
      <c r="R65" s="104">
        <f t="shared" si="67"/>
        <v>9.22</v>
      </c>
      <c r="S65" s="104"/>
      <c r="T65" s="104">
        <f t="shared" si="3"/>
        <v>47872.42</v>
      </c>
      <c r="U65" s="104">
        <f t="shared" si="4"/>
        <v>46221.64</v>
      </c>
      <c r="V65" s="104">
        <f t="shared" si="7"/>
        <v>53489.16</v>
      </c>
      <c r="W65" s="104">
        <f t="shared" si="5"/>
        <v>51644.72</v>
      </c>
    </row>
    <row r="66">
      <c r="A66" s="110"/>
      <c r="B66" s="106" t="s">
        <v>52</v>
      </c>
      <c r="C66" s="106" t="s">
        <v>10</v>
      </c>
      <c r="D66" s="107" t="s">
        <v>36</v>
      </c>
      <c r="E66" s="106" t="s">
        <v>22</v>
      </c>
      <c r="F66" s="106" t="s">
        <v>19</v>
      </c>
      <c r="G66" s="107" t="s">
        <v>175</v>
      </c>
      <c r="H66" s="108">
        <f t="shared" si="68"/>
        <v>9.22</v>
      </c>
      <c r="I66" s="106">
        <v>200065.0</v>
      </c>
      <c r="J66" s="7"/>
      <c r="K66" s="7"/>
      <c r="L66" s="7"/>
      <c r="M66" s="54">
        <v>64.0</v>
      </c>
      <c r="N66" s="103" t="s">
        <v>226</v>
      </c>
      <c r="O66" s="104">
        <f t="shared" ref="O66:R66" si="69">O65</f>
        <v>1844.44</v>
      </c>
      <c r="P66" s="104">
        <f t="shared" si="69"/>
        <v>1650.78</v>
      </c>
      <c r="Q66" s="104">
        <f t="shared" si="69"/>
        <v>184.44</v>
      </c>
      <c r="R66" s="104">
        <f t="shared" si="69"/>
        <v>9.22</v>
      </c>
      <c r="S66" s="104"/>
      <c r="T66" s="104">
        <f t="shared" si="3"/>
        <v>46221.64</v>
      </c>
      <c r="U66" s="104">
        <f t="shared" si="4"/>
        <v>44570.86</v>
      </c>
      <c r="V66" s="104">
        <f t="shared" si="7"/>
        <v>51644.72</v>
      </c>
      <c r="W66" s="104">
        <f t="shared" si="5"/>
        <v>49800.28</v>
      </c>
    </row>
    <row r="67">
      <c r="A67" s="106">
        <v>4.0</v>
      </c>
      <c r="B67" s="106" t="s">
        <v>52</v>
      </c>
      <c r="C67" s="106" t="s">
        <v>10</v>
      </c>
      <c r="D67" s="107" t="s">
        <v>172</v>
      </c>
      <c r="E67" s="107" t="s">
        <v>12</v>
      </c>
      <c r="F67" s="106" t="s">
        <v>19</v>
      </c>
      <c r="G67" s="107" t="s">
        <v>28</v>
      </c>
      <c r="H67" s="108">
        <f t="shared" si="68"/>
        <v>184.44</v>
      </c>
      <c r="I67" s="109">
        <v>100064.0</v>
      </c>
      <c r="J67" s="7"/>
      <c r="K67" s="7"/>
      <c r="L67" s="7"/>
      <c r="M67" s="54">
        <v>65.0</v>
      </c>
      <c r="N67" s="103" t="s">
        <v>227</v>
      </c>
      <c r="O67" s="104">
        <f t="shared" ref="O67:R67" si="70">O66</f>
        <v>1844.44</v>
      </c>
      <c r="P67" s="104">
        <f t="shared" si="70"/>
        <v>1650.78</v>
      </c>
      <c r="Q67" s="104">
        <f t="shared" si="70"/>
        <v>184.44</v>
      </c>
      <c r="R67" s="104">
        <f t="shared" si="70"/>
        <v>9.22</v>
      </c>
      <c r="S67" s="104"/>
      <c r="T67" s="104">
        <f t="shared" si="3"/>
        <v>44570.86</v>
      </c>
      <c r="U67" s="104">
        <f t="shared" si="4"/>
        <v>42920.08</v>
      </c>
      <c r="V67" s="104">
        <f t="shared" si="7"/>
        <v>49800.28</v>
      </c>
      <c r="W67" s="104">
        <f t="shared" si="5"/>
        <v>47955.84</v>
      </c>
    </row>
    <row r="68">
      <c r="A68" s="8" t="s">
        <v>215</v>
      </c>
      <c r="B68" s="7" t="s">
        <v>228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54">
        <v>66.0</v>
      </c>
      <c r="N68" s="103" t="s">
        <v>229</v>
      </c>
      <c r="O68" s="104">
        <f t="shared" ref="O68:R68" si="71">O67</f>
        <v>1844.44</v>
      </c>
      <c r="P68" s="104">
        <f t="shared" si="71"/>
        <v>1650.78</v>
      </c>
      <c r="Q68" s="104">
        <f t="shared" si="71"/>
        <v>184.44</v>
      </c>
      <c r="R68" s="104">
        <f t="shared" si="71"/>
        <v>9.22</v>
      </c>
      <c r="S68" s="104"/>
      <c r="T68" s="104">
        <f t="shared" si="3"/>
        <v>42920.08</v>
      </c>
      <c r="U68" s="104">
        <f t="shared" si="4"/>
        <v>41269.3</v>
      </c>
      <c r="V68" s="104">
        <f t="shared" si="7"/>
        <v>47955.84</v>
      </c>
      <c r="W68" s="104">
        <f t="shared" si="5"/>
        <v>46111.4</v>
      </c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54">
        <v>67.0</v>
      </c>
      <c r="N69" s="103" t="s">
        <v>230</v>
      </c>
      <c r="O69" s="104">
        <f t="shared" ref="O69:R69" si="72">O68</f>
        <v>1844.44</v>
      </c>
      <c r="P69" s="104">
        <f t="shared" si="72"/>
        <v>1650.78</v>
      </c>
      <c r="Q69" s="104">
        <f t="shared" si="72"/>
        <v>184.44</v>
      </c>
      <c r="R69" s="104">
        <f t="shared" si="72"/>
        <v>9.22</v>
      </c>
      <c r="S69" s="104"/>
      <c r="T69" s="104">
        <f t="shared" si="3"/>
        <v>41269.3</v>
      </c>
      <c r="U69" s="104">
        <f t="shared" si="4"/>
        <v>39618.52</v>
      </c>
      <c r="V69" s="104">
        <f t="shared" si="7"/>
        <v>46111.4</v>
      </c>
      <c r="W69" s="104">
        <f t="shared" si="5"/>
        <v>44266.96</v>
      </c>
    </row>
    <row r="70">
      <c r="A70" s="8" t="s">
        <v>231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54">
        <v>68.0</v>
      </c>
      <c r="N70" s="103" t="s">
        <v>232</v>
      </c>
      <c r="O70" s="104">
        <f t="shared" ref="O70:R70" si="73">O69</f>
        <v>1844.44</v>
      </c>
      <c r="P70" s="104">
        <f t="shared" si="73"/>
        <v>1650.78</v>
      </c>
      <c r="Q70" s="104">
        <f t="shared" si="73"/>
        <v>184.44</v>
      </c>
      <c r="R70" s="104">
        <f t="shared" si="73"/>
        <v>9.22</v>
      </c>
      <c r="S70" s="104"/>
      <c r="T70" s="104">
        <f t="shared" si="3"/>
        <v>39618.52</v>
      </c>
      <c r="U70" s="104">
        <f t="shared" si="4"/>
        <v>37967.74</v>
      </c>
      <c r="V70" s="104">
        <f t="shared" si="7"/>
        <v>44266.96</v>
      </c>
      <c r="W70" s="104">
        <f t="shared" si="5"/>
        <v>42422.52</v>
      </c>
    </row>
    <row r="71">
      <c r="A71" s="7"/>
      <c r="B71" s="101" t="s">
        <v>57</v>
      </c>
      <c r="C71" s="102" t="s">
        <v>86</v>
      </c>
      <c r="E71" s="34" t="s">
        <v>187</v>
      </c>
      <c r="F71" s="7"/>
      <c r="G71" s="7"/>
      <c r="H71" s="7"/>
      <c r="I71" s="89"/>
      <c r="J71" s="7"/>
      <c r="K71" s="7"/>
      <c r="L71" s="7"/>
      <c r="M71" s="54">
        <v>69.0</v>
      </c>
      <c r="N71" s="103" t="s">
        <v>233</v>
      </c>
      <c r="O71" s="104">
        <f t="shared" ref="O71:R71" si="74">O70</f>
        <v>1844.44</v>
      </c>
      <c r="P71" s="104">
        <f t="shared" si="74"/>
        <v>1650.78</v>
      </c>
      <c r="Q71" s="104">
        <f t="shared" si="74"/>
        <v>184.44</v>
      </c>
      <c r="R71" s="104">
        <f t="shared" si="74"/>
        <v>9.22</v>
      </c>
      <c r="S71" s="104"/>
      <c r="T71" s="104">
        <f t="shared" si="3"/>
        <v>37967.74</v>
      </c>
      <c r="U71" s="104">
        <f t="shared" si="4"/>
        <v>36316.96</v>
      </c>
      <c r="V71" s="104">
        <f t="shared" si="7"/>
        <v>42422.52</v>
      </c>
      <c r="W71" s="104">
        <f t="shared" si="5"/>
        <v>40578.08</v>
      </c>
    </row>
    <row r="72">
      <c r="A72" s="92" t="s">
        <v>0</v>
      </c>
      <c r="B72" s="92" t="s">
        <v>1</v>
      </c>
      <c r="C72" s="92" t="s">
        <v>2</v>
      </c>
      <c r="D72" s="92" t="s">
        <v>3</v>
      </c>
      <c r="E72" s="92" t="s">
        <v>4</v>
      </c>
      <c r="F72" s="92" t="s">
        <v>5</v>
      </c>
      <c r="G72" s="92" t="s">
        <v>6</v>
      </c>
      <c r="H72" s="92" t="s">
        <v>7</v>
      </c>
      <c r="I72" s="9" t="s">
        <v>8</v>
      </c>
      <c r="J72" s="7"/>
      <c r="K72" s="7"/>
      <c r="L72" s="7"/>
      <c r="M72" s="54">
        <v>70.0</v>
      </c>
      <c r="N72" s="103" t="s">
        <v>234</v>
      </c>
      <c r="O72" s="104">
        <f t="shared" ref="O72:R72" si="75">O71</f>
        <v>1844.44</v>
      </c>
      <c r="P72" s="104">
        <f t="shared" si="75"/>
        <v>1650.78</v>
      </c>
      <c r="Q72" s="104">
        <f t="shared" si="75"/>
        <v>184.44</v>
      </c>
      <c r="R72" s="104">
        <f t="shared" si="75"/>
        <v>9.22</v>
      </c>
      <c r="S72" s="104"/>
      <c r="T72" s="104">
        <f t="shared" si="3"/>
        <v>36316.96</v>
      </c>
      <c r="U72" s="104">
        <f t="shared" si="4"/>
        <v>34666.18</v>
      </c>
      <c r="V72" s="104">
        <f t="shared" si="7"/>
        <v>40578.08</v>
      </c>
      <c r="W72" s="104">
        <f t="shared" si="5"/>
        <v>38733.64</v>
      </c>
    </row>
    <row r="73">
      <c r="A73" s="106">
        <v>5.0</v>
      </c>
      <c r="B73" s="106" t="s">
        <v>52</v>
      </c>
      <c r="C73" s="106" t="s">
        <v>10</v>
      </c>
      <c r="D73" s="106" t="s">
        <v>155</v>
      </c>
      <c r="E73" s="106" t="s">
        <v>156</v>
      </c>
      <c r="F73" s="106" t="s">
        <v>13</v>
      </c>
      <c r="G73" s="106" t="s">
        <v>156</v>
      </c>
      <c r="H73" s="106">
        <v>1844.44</v>
      </c>
      <c r="I73" s="106">
        <v>400041.0</v>
      </c>
      <c r="J73" s="7"/>
      <c r="K73" s="7"/>
      <c r="L73" s="7"/>
      <c r="M73" s="54">
        <v>71.0</v>
      </c>
      <c r="N73" s="103" t="s">
        <v>235</v>
      </c>
      <c r="O73" s="104">
        <f t="shared" ref="O73:R73" si="76">O72</f>
        <v>1844.44</v>
      </c>
      <c r="P73" s="104">
        <f t="shared" si="76"/>
        <v>1650.78</v>
      </c>
      <c r="Q73" s="104">
        <f t="shared" si="76"/>
        <v>184.44</v>
      </c>
      <c r="R73" s="104">
        <f t="shared" si="76"/>
        <v>9.22</v>
      </c>
      <c r="S73" s="104"/>
      <c r="T73" s="104">
        <f t="shared" si="3"/>
        <v>34666.18</v>
      </c>
      <c r="U73" s="104">
        <f t="shared" si="4"/>
        <v>33015.4</v>
      </c>
      <c r="V73" s="104">
        <f t="shared" si="7"/>
        <v>38733.64</v>
      </c>
      <c r="W73" s="104">
        <f t="shared" si="5"/>
        <v>36889.2</v>
      </c>
    </row>
    <row r="74">
      <c r="A74" s="106">
        <v>5.0</v>
      </c>
      <c r="B74" s="106" t="s">
        <v>52</v>
      </c>
      <c r="C74" s="106" t="s">
        <v>10</v>
      </c>
      <c r="D74" s="106" t="s">
        <v>169</v>
      </c>
      <c r="E74" s="106" t="s">
        <v>12</v>
      </c>
      <c r="F74" s="106" t="s">
        <v>19</v>
      </c>
      <c r="G74" s="106" t="s">
        <v>170</v>
      </c>
      <c r="H74" s="106">
        <v>1844.44</v>
      </c>
      <c r="I74" s="106">
        <v>100053.0</v>
      </c>
      <c r="J74" s="7"/>
      <c r="K74" s="7"/>
      <c r="L74" s="7"/>
      <c r="M74" s="54">
        <v>72.0</v>
      </c>
      <c r="N74" s="103" t="s">
        <v>236</v>
      </c>
      <c r="O74" s="104">
        <f t="shared" ref="O74:R74" si="77">O73</f>
        <v>1844.44</v>
      </c>
      <c r="P74" s="104">
        <f t="shared" si="77"/>
        <v>1650.78</v>
      </c>
      <c r="Q74" s="104">
        <f t="shared" si="77"/>
        <v>184.44</v>
      </c>
      <c r="R74" s="104">
        <f t="shared" si="77"/>
        <v>9.22</v>
      </c>
      <c r="S74" s="104"/>
      <c r="T74" s="104">
        <f t="shared" si="3"/>
        <v>33015.4</v>
      </c>
      <c r="U74" s="104">
        <f t="shared" si="4"/>
        <v>31364.62</v>
      </c>
      <c r="V74" s="104">
        <f t="shared" si="7"/>
        <v>36889.2</v>
      </c>
      <c r="W74" s="104">
        <f t="shared" si="5"/>
        <v>35044.76</v>
      </c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54">
        <v>73.0</v>
      </c>
      <c r="N75" s="103" t="s">
        <v>237</v>
      </c>
      <c r="O75" s="104">
        <f t="shared" ref="O75:R75" si="78">O74</f>
        <v>1844.44</v>
      </c>
      <c r="P75" s="104">
        <f t="shared" si="78"/>
        <v>1650.78</v>
      </c>
      <c r="Q75" s="104">
        <f t="shared" si="78"/>
        <v>184.44</v>
      </c>
      <c r="R75" s="104">
        <f t="shared" si="78"/>
        <v>9.22</v>
      </c>
      <c r="S75" s="104"/>
      <c r="T75" s="104">
        <f t="shared" si="3"/>
        <v>31364.62</v>
      </c>
      <c r="U75" s="104">
        <f t="shared" si="4"/>
        <v>29713.84</v>
      </c>
      <c r="V75" s="104">
        <f t="shared" si="7"/>
        <v>35044.76</v>
      </c>
      <c r="W75" s="104">
        <f t="shared" si="5"/>
        <v>33200.32</v>
      </c>
    </row>
    <row r="76">
      <c r="A76" s="8" t="s">
        <v>157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54">
        <v>74.0</v>
      </c>
      <c r="N76" s="103" t="s">
        <v>238</v>
      </c>
      <c r="O76" s="104">
        <f t="shared" ref="O76:R76" si="79">O75</f>
        <v>1844.44</v>
      </c>
      <c r="P76" s="104">
        <f t="shared" si="79"/>
        <v>1650.78</v>
      </c>
      <c r="Q76" s="104">
        <f t="shared" si="79"/>
        <v>184.44</v>
      </c>
      <c r="R76" s="104">
        <f t="shared" si="79"/>
        <v>9.22</v>
      </c>
      <c r="S76" s="104"/>
      <c r="T76" s="104">
        <f t="shared" si="3"/>
        <v>29713.84</v>
      </c>
      <c r="U76" s="104">
        <f t="shared" si="4"/>
        <v>28063.06</v>
      </c>
      <c r="V76" s="104">
        <f t="shared" si="7"/>
        <v>33200.32</v>
      </c>
      <c r="W76" s="104">
        <f t="shared" si="5"/>
        <v>31355.88</v>
      </c>
    </row>
    <row r="77">
      <c r="A77" s="7"/>
      <c r="B77" s="101" t="s">
        <v>57</v>
      </c>
      <c r="C77" s="102" t="s">
        <v>86</v>
      </c>
      <c r="E77" s="34" t="s">
        <v>187</v>
      </c>
      <c r="F77" s="7"/>
      <c r="G77" s="7"/>
      <c r="H77" s="7"/>
      <c r="I77" s="89"/>
      <c r="J77" s="7"/>
      <c r="K77" s="7"/>
      <c r="L77" s="7"/>
      <c r="M77" s="54">
        <v>75.0</v>
      </c>
      <c r="N77" s="103" t="s">
        <v>239</v>
      </c>
      <c r="O77" s="104">
        <f t="shared" ref="O77:R77" si="80">O76</f>
        <v>1844.44</v>
      </c>
      <c r="P77" s="104">
        <f t="shared" si="80"/>
        <v>1650.78</v>
      </c>
      <c r="Q77" s="104">
        <f t="shared" si="80"/>
        <v>184.44</v>
      </c>
      <c r="R77" s="104">
        <f t="shared" si="80"/>
        <v>9.22</v>
      </c>
      <c r="S77" s="104"/>
      <c r="T77" s="104">
        <f t="shared" si="3"/>
        <v>28063.06</v>
      </c>
      <c r="U77" s="104">
        <f t="shared" si="4"/>
        <v>26412.28</v>
      </c>
      <c r="V77" s="104">
        <f t="shared" si="7"/>
        <v>31355.88</v>
      </c>
      <c r="W77" s="104">
        <f t="shared" si="5"/>
        <v>29511.44</v>
      </c>
    </row>
    <row r="78">
      <c r="A78" s="92" t="s">
        <v>0</v>
      </c>
      <c r="B78" s="92" t="s">
        <v>1</v>
      </c>
      <c r="C78" s="92" t="s">
        <v>2</v>
      </c>
      <c r="D78" s="92" t="s">
        <v>3</v>
      </c>
      <c r="E78" s="92" t="s">
        <v>4</v>
      </c>
      <c r="F78" s="92" t="s">
        <v>5</v>
      </c>
      <c r="G78" s="92" t="s">
        <v>6</v>
      </c>
      <c r="H78" s="92" t="s">
        <v>7</v>
      </c>
      <c r="I78" s="9" t="s">
        <v>8</v>
      </c>
      <c r="J78" s="7"/>
      <c r="K78" s="7"/>
      <c r="L78" s="7"/>
      <c r="M78" s="54">
        <v>76.0</v>
      </c>
      <c r="N78" s="103" t="s">
        <v>240</v>
      </c>
      <c r="O78" s="104">
        <f t="shared" ref="O78:R78" si="81">O77</f>
        <v>1844.44</v>
      </c>
      <c r="P78" s="104">
        <f t="shared" si="81"/>
        <v>1650.78</v>
      </c>
      <c r="Q78" s="104">
        <f t="shared" si="81"/>
        <v>184.44</v>
      </c>
      <c r="R78" s="104">
        <f t="shared" si="81"/>
        <v>9.22</v>
      </c>
      <c r="S78" s="104"/>
      <c r="T78" s="104">
        <f t="shared" si="3"/>
        <v>26412.28</v>
      </c>
      <c r="U78" s="104">
        <f t="shared" si="4"/>
        <v>24761.5</v>
      </c>
      <c r="V78" s="104">
        <f t="shared" si="7"/>
        <v>29511.44</v>
      </c>
      <c r="W78" s="104">
        <f t="shared" si="5"/>
        <v>27667</v>
      </c>
    </row>
    <row r="79">
      <c r="A79" s="106">
        <v>6.0</v>
      </c>
      <c r="B79" s="106" t="s">
        <v>52</v>
      </c>
      <c r="C79" s="106" t="s">
        <v>10</v>
      </c>
      <c r="D79" s="106" t="s">
        <v>155</v>
      </c>
      <c r="E79" s="106" t="s">
        <v>156</v>
      </c>
      <c r="F79" s="106" t="s">
        <v>13</v>
      </c>
      <c r="G79" s="106" t="s">
        <v>156</v>
      </c>
      <c r="H79" s="106">
        <f t="shared" ref="H79:H80" si="83">1844.44/2</f>
        <v>922.22</v>
      </c>
      <c r="I79" s="106">
        <v>400041.0</v>
      </c>
      <c r="J79" s="7"/>
      <c r="K79" s="7"/>
      <c r="L79" s="7"/>
      <c r="M79" s="54">
        <v>77.0</v>
      </c>
      <c r="N79" s="103" t="s">
        <v>241</v>
      </c>
      <c r="O79" s="104">
        <f t="shared" ref="O79:R79" si="82">O78</f>
        <v>1844.44</v>
      </c>
      <c r="P79" s="104">
        <f t="shared" si="82"/>
        <v>1650.78</v>
      </c>
      <c r="Q79" s="104">
        <f t="shared" si="82"/>
        <v>184.44</v>
      </c>
      <c r="R79" s="104">
        <f t="shared" si="82"/>
        <v>9.22</v>
      </c>
      <c r="S79" s="104"/>
      <c r="T79" s="104">
        <f t="shared" si="3"/>
        <v>24761.5</v>
      </c>
      <c r="U79" s="104">
        <f t="shared" si="4"/>
        <v>23110.72</v>
      </c>
      <c r="V79" s="104">
        <f t="shared" si="7"/>
        <v>27667</v>
      </c>
      <c r="W79" s="104">
        <f t="shared" si="5"/>
        <v>25822.56</v>
      </c>
    </row>
    <row r="80">
      <c r="A80" s="106">
        <v>6.0</v>
      </c>
      <c r="B80" s="106" t="s">
        <v>52</v>
      </c>
      <c r="C80" s="106" t="s">
        <v>10</v>
      </c>
      <c r="D80" s="106" t="s">
        <v>169</v>
      </c>
      <c r="E80" s="106" t="s">
        <v>12</v>
      </c>
      <c r="F80" s="106" t="s">
        <v>19</v>
      </c>
      <c r="G80" s="106" t="s">
        <v>170</v>
      </c>
      <c r="H80" s="106">
        <f t="shared" si="83"/>
        <v>922.22</v>
      </c>
      <c r="I80" s="106">
        <v>100053.0</v>
      </c>
      <c r="J80" s="7"/>
      <c r="K80" s="7"/>
      <c r="L80" s="7"/>
      <c r="M80" s="54">
        <v>78.0</v>
      </c>
      <c r="N80" s="103" t="s">
        <v>242</v>
      </c>
      <c r="O80" s="104">
        <f t="shared" ref="O80:R80" si="84">O79</f>
        <v>1844.44</v>
      </c>
      <c r="P80" s="104">
        <f t="shared" si="84"/>
        <v>1650.78</v>
      </c>
      <c r="Q80" s="104">
        <f t="shared" si="84"/>
        <v>184.44</v>
      </c>
      <c r="R80" s="104">
        <f t="shared" si="84"/>
        <v>9.22</v>
      </c>
      <c r="S80" s="104"/>
      <c r="T80" s="104">
        <f t="shared" si="3"/>
        <v>23110.72</v>
      </c>
      <c r="U80" s="104">
        <f t="shared" si="4"/>
        <v>21459.94</v>
      </c>
      <c r="V80" s="104">
        <f t="shared" si="7"/>
        <v>25822.56</v>
      </c>
      <c r="W80" s="104">
        <f t="shared" si="5"/>
        <v>23978.12</v>
      </c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54">
        <v>79.0</v>
      </c>
      <c r="N81" s="103" t="s">
        <v>243</v>
      </c>
      <c r="O81" s="104">
        <f t="shared" ref="O81:R81" si="85">O80</f>
        <v>1844.44</v>
      </c>
      <c r="P81" s="104">
        <f t="shared" si="85"/>
        <v>1650.78</v>
      </c>
      <c r="Q81" s="104">
        <f t="shared" si="85"/>
        <v>184.44</v>
      </c>
      <c r="R81" s="104">
        <f t="shared" si="85"/>
        <v>9.22</v>
      </c>
      <c r="S81" s="104"/>
      <c r="T81" s="104">
        <f t="shared" si="3"/>
        <v>21459.94</v>
      </c>
      <c r="U81" s="104">
        <f t="shared" si="4"/>
        <v>19809.16</v>
      </c>
      <c r="V81" s="104">
        <f t="shared" si="7"/>
        <v>23978.12</v>
      </c>
      <c r="W81" s="104">
        <f t="shared" si="5"/>
        <v>22133.68</v>
      </c>
    </row>
    <row r="82">
      <c r="A82" s="8" t="s">
        <v>51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54">
        <v>80.0</v>
      </c>
      <c r="N82" s="103" t="s">
        <v>244</v>
      </c>
      <c r="O82" s="104">
        <f t="shared" ref="O82:R82" si="86">O81</f>
        <v>1844.44</v>
      </c>
      <c r="P82" s="104">
        <f t="shared" si="86"/>
        <v>1650.78</v>
      </c>
      <c r="Q82" s="104">
        <f t="shared" si="86"/>
        <v>184.44</v>
      </c>
      <c r="R82" s="104">
        <f t="shared" si="86"/>
        <v>9.22</v>
      </c>
      <c r="S82" s="104"/>
      <c r="T82" s="104">
        <f t="shared" si="3"/>
        <v>19809.16</v>
      </c>
      <c r="U82" s="104">
        <f t="shared" si="4"/>
        <v>18158.38</v>
      </c>
      <c r="V82" s="104">
        <f t="shared" si="7"/>
        <v>22133.68</v>
      </c>
      <c r="W82" s="104">
        <f t="shared" si="5"/>
        <v>20289.24</v>
      </c>
    </row>
    <row r="83">
      <c r="A83" s="9" t="s">
        <v>40</v>
      </c>
      <c r="B83" s="9" t="s">
        <v>1</v>
      </c>
      <c r="C83" s="9" t="s">
        <v>2</v>
      </c>
      <c r="D83" s="9" t="s">
        <v>3</v>
      </c>
      <c r="E83" s="20"/>
      <c r="F83" s="9" t="s">
        <v>5</v>
      </c>
      <c r="G83" s="9" t="s">
        <v>6</v>
      </c>
      <c r="H83" s="115" t="s">
        <v>7</v>
      </c>
      <c r="I83" s="9" t="s">
        <v>8</v>
      </c>
      <c r="J83" s="7"/>
      <c r="K83" s="7"/>
      <c r="L83" s="7"/>
      <c r="M83" s="54">
        <v>81.0</v>
      </c>
      <c r="N83" s="103" t="s">
        <v>134</v>
      </c>
      <c r="O83" s="104">
        <f t="shared" ref="O83:R83" si="87">O82</f>
        <v>1844.44</v>
      </c>
      <c r="P83" s="104">
        <f t="shared" si="87"/>
        <v>1650.78</v>
      </c>
      <c r="Q83" s="104">
        <f t="shared" si="87"/>
        <v>184.44</v>
      </c>
      <c r="R83" s="104">
        <f t="shared" si="87"/>
        <v>9.22</v>
      </c>
      <c r="S83" s="104"/>
      <c r="T83" s="104">
        <f t="shared" si="3"/>
        <v>18158.38</v>
      </c>
      <c r="U83" s="104">
        <f t="shared" si="4"/>
        <v>16507.6</v>
      </c>
      <c r="V83" s="104">
        <f t="shared" si="7"/>
        <v>20289.24</v>
      </c>
      <c r="W83" s="104">
        <f t="shared" si="5"/>
        <v>18444.8</v>
      </c>
    </row>
    <row r="84">
      <c r="A84" s="106">
        <v>7.0</v>
      </c>
      <c r="B84" s="14" t="s">
        <v>52</v>
      </c>
      <c r="C84" s="14" t="s">
        <v>10</v>
      </c>
      <c r="D84" s="14" t="s">
        <v>53</v>
      </c>
      <c r="E84" s="14" t="s">
        <v>12</v>
      </c>
      <c r="F84" s="14" t="s">
        <v>13</v>
      </c>
      <c r="G84" s="27"/>
      <c r="H84" s="16">
        <v>10000.0</v>
      </c>
      <c r="I84" s="106">
        <v>100006.0</v>
      </c>
      <c r="J84" s="7"/>
      <c r="K84" s="7"/>
      <c r="L84" s="7"/>
      <c r="M84" s="54">
        <v>82.0</v>
      </c>
      <c r="N84" s="103">
        <v>45664.0</v>
      </c>
      <c r="O84" s="104">
        <f t="shared" ref="O84:R84" si="88">O83</f>
        <v>1844.44</v>
      </c>
      <c r="P84" s="104">
        <f t="shared" si="88"/>
        <v>1650.78</v>
      </c>
      <c r="Q84" s="104">
        <f t="shared" si="88"/>
        <v>184.44</v>
      </c>
      <c r="R84" s="104">
        <f t="shared" si="88"/>
        <v>9.22</v>
      </c>
      <c r="S84" s="104"/>
      <c r="T84" s="104">
        <f t="shared" si="3"/>
        <v>16507.6</v>
      </c>
      <c r="U84" s="104">
        <f t="shared" si="4"/>
        <v>14856.82</v>
      </c>
      <c r="V84" s="104">
        <f t="shared" si="7"/>
        <v>18444.8</v>
      </c>
      <c r="W84" s="104">
        <f t="shared" si="5"/>
        <v>16600.36</v>
      </c>
    </row>
    <row r="85">
      <c r="A85" s="106">
        <v>7.0</v>
      </c>
      <c r="B85" s="14" t="s">
        <v>52</v>
      </c>
      <c r="C85" s="14" t="s">
        <v>10</v>
      </c>
      <c r="D85" s="14" t="s">
        <v>245</v>
      </c>
      <c r="E85" s="14" t="s">
        <v>22</v>
      </c>
      <c r="F85" s="14" t="s">
        <v>19</v>
      </c>
      <c r="G85" s="27"/>
      <c r="H85" s="16">
        <v>10000.0</v>
      </c>
      <c r="I85" s="106">
        <v>210002.0</v>
      </c>
      <c r="J85" s="7"/>
      <c r="K85" s="7"/>
      <c r="L85" s="7"/>
      <c r="M85" s="54">
        <v>83.0</v>
      </c>
      <c r="N85" s="103">
        <v>45695.0</v>
      </c>
      <c r="O85" s="104">
        <f t="shared" ref="O85:R85" si="89">O84</f>
        <v>1844.44</v>
      </c>
      <c r="P85" s="104">
        <f t="shared" si="89"/>
        <v>1650.78</v>
      </c>
      <c r="Q85" s="104">
        <f t="shared" si="89"/>
        <v>184.44</v>
      </c>
      <c r="R85" s="104">
        <f t="shared" si="89"/>
        <v>9.22</v>
      </c>
      <c r="S85" s="104"/>
      <c r="T85" s="104">
        <f t="shared" si="3"/>
        <v>14856.82</v>
      </c>
      <c r="U85" s="104">
        <f t="shared" si="4"/>
        <v>13206.04</v>
      </c>
      <c r="V85" s="104">
        <f t="shared" si="7"/>
        <v>16600.36</v>
      </c>
      <c r="W85" s="104">
        <f t="shared" si="5"/>
        <v>14755.92</v>
      </c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54">
        <v>84.0</v>
      </c>
      <c r="N86" s="103">
        <v>45723.0</v>
      </c>
      <c r="O86" s="104">
        <f t="shared" ref="O86:R86" si="90">O85</f>
        <v>1844.44</v>
      </c>
      <c r="P86" s="104">
        <f t="shared" si="90"/>
        <v>1650.78</v>
      </c>
      <c r="Q86" s="104">
        <f t="shared" si="90"/>
        <v>184.44</v>
      </c>
      <c r="R86" s="104">
        <f t="shared" si="90"/>
        <v>9.22</v>
      </c>
      <c r="S86" s="104"/>
      <c r="T86" s="104">
        <f t="shared" si="3"/>
        <v>13206.04</v>
      </c>
      <c r="U86" s="104">
        <f t="shared" si="4"/>
        <v>11555.26</v>
      </c>
      <c r="V86" s="104">
        <f t="shared" si="7"/>
        <v>14755.92</v>
      </c>
      <c r="W86" s="104">
        <f t="shared" si="5"/>
        <v>12911.48</v>
      </c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54">
        <v>85.0</v>
      </c>
      <c r="N87" s="103">
        <v>45754.0</v>
      </c>
      <c r="O87" s="104">
        <f t="shared" ref="O87:R87" si="91">O86</f>
        <v>1844.44</v>
      </c>
      <c r="P87" s="104">
        <f t="shared" si="91"/>
        <v>1650.78</v>
      </c>
      <c r="Q87" s="104">
        <f t="shared" si="91"/>
        <v>184.44</v>
      </c>
      <c r="R87" s="104">
        <f t="shared" si="91"/>
        <v>9.22</v>
      </c>
      <c r="S87" s="104"/>
      <c r="T87" s="104">
        <f t="shared" si="3"/>
        <v>11555.26</v>
      </c>
      <c r="U87" s="104">
        <f t="shared" si="4"/>
        <v>9904.48</v>
      </c>
      <c r="V87" s="104">
        <f t="shared" si="7"/>
        <v>12911.48</v>
      </c>
      <c r="W87" s="104">
        <f t="shared" si="5"/>
        <v>11067.04</v>
      </c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54">
        <v>86.0</v>
      </c>
      <c r="N88" s="103">
        <v>45784.0</v>
      </c>
      <c r="O88" s="104">
        <f t="shared" ref="O88:R88" si="92">O87</f>
        <v>1844.44</v>
      </c>
      <c r="P88" s="104">
        <f t="shared" si="92"/>
        <v>1650.78</v>
      </c>
      <c r="Q88" s="104">
        <f t="shared" si="92"/>
        <v>184.44</v>
      </c>
      <c r="R88" s="104">
        <f t="shared" si="92"/>
        <v>9.22</v>
      </c>
      <c r="S88" s="104"/>
      <c r="T88" s="104">
        <f t="shared" si="3"/>
        <v>9904.48</v>
      </c>
      <c r="U88" s="104">
        <f t="shared" si="4"/>
        <v>8253.7</v>
      </c>
      <c r="V88" s="104">
        <f t="shared" si="7"/>
        <v>11067.04</v>
      </c>
      <c r="W88" s="104">
        <f t="shared" si="5"/>
        <v>9222.6</v>
      </c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54">
        <v>87.0</v>
      </c>
      <c r="N89" s="103">
        <v>45815.0</v>
      </c>
      <c r="O89" s="104">
        <f t="shared" ref="O89:R89" si="93">O88</f>
        <v>1844.44</v>
      </c>
      <c r="P89" s="104">
        <f t="shared" si="93"/>
        <v>1650.78</v>
      </c>
      <c r="Q89" s="104">
        <f t="shared" si="93"/>
        <v>184.44</v>
      </c>
      <c r="R89" s="104">
        <f t="shared" si="93"/>
        <v>9.22</v>
      </c>
      <c r="S89" s="104"/>
      <c r="T89" s="104">
        <f t="shared" si="3"/>
        <v>8253.7</v>
      </c>
      <c r="U89" s="104">
        <f t="shared" si="4"/>
        <v>6602.92</v>
      </c>
      <c r="V89" s="104">
        <f t="shared" si="7"/>
        <v>9222.6</v>
      </c>
      <c r="W89" s="104">
        <f t="shared" si="5"/>
        <v>7378.16</v>
      </c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54">
        <v>88.0</v>
      </c>
      <c r="N90" s="103">
        <v>45845.0</v>
      </c>
      <c r="O90" s="104">
        <f t="shared" ref="O90:R90" si="94">O89</f>
        <v>1844.44</v>
      </c>
      <c r="P90" s="104">
        <f t="shared" si="94"/>
        <v>1650.78</v>
      </c>
      <c r="Q90" s="104">
        <f t="shared" si="94"/>
        <v>184.44</v>
      </c>
      <c r="R90" s="104">
        <f t="shared" si="94"/>
        <v>9.22</v>
      </c>
      <c r="S90" s="104"/>
      <c r="T90" s="104">
        <f t="shared" si="3"/>
        <v>6602.92</v>
      </c>
      <c r="U90" s="104">
        <f t="shared" si="4"/>
        <v>4952.14</v>
      </c>
      <c r="V90" s="104">
        <f t="shared" si="7"/>
        <v>7378.16</v>
      </c>
      <c r="W90" s="104">
        <f t="shared" si="5"/>
        <v>5533.72</v>
      </c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54">
        <v>89.0</v>
      </c>
      <c r="N91" s="103">
        <v>45876.0</v>
      </c>
      <c r="O91" s="104">
        <f t="shared" ref="O91:R91" si="95">O90</f>
        <v>1844.44</v>
      </c>
      <c r="P91" s="104">
        <f t="shared" si="95"/>
        <v>1650.78</v>
      </c>
      <c r="Q91" s="104">
        <f t="shared" si="95"/>
        <v>184.44</v>
      </c>
      <c r="R91" s="104">
        <f t="shared" si="95"/>
        <v>9.22</v>
      </c>
      <c r="S91" s="104"/>
      <c r="T91" s="104">
        <f t="shared" si="3"/>
        <v>4952.14</v>
      </c>
      <c r="U91" s="104">
        <f t="shared" si="4"/>
        <v>3301.36</v>
      </c>
      <c r="V91" s="104">
        <f t="shared" si="7"/>
        <v>5533.72</v>
      </c>
      <c r="W91" s="104">
        <f t="shared" si="5"/>
        <v>3689.28</v>
      </c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54">
        <v>90.0</v>
      </c>
      <c r="N92" s="103">
        <v>45907.0</v>
      </c>
      <c r="O92" s="104">
        <f t="shared" ref="O92:R92" si="96">O91</f>
        <v>1844.44</v>
      </c>
      <c r="P92" s="104">
        <f t="shared" si="96"/>
        <v>1650.78</v>
      </c>
      <c r="Q92" s="104">
        <f t="shared" si="96"/>
        <v>184.44</v>
      </c>
      <c r="R92" s="104">
        <f t="shared" si="96"/>
        <v>9.22</v>
      </c>
      <c r="S92" s="104"/>
      <c r="T92" s="104">
        <f t="shared" si="3"/>
        <v>3301.36</v>
      </c>
      <c r="U92" s="104">
        <f t="shared" si="4"/>
        <v>1650.58</v>
      </c>
      <c r="V92" s="104">
        <f t="shared" si="7"/>
        <v>3689.28</v>
      </c>
      <c r="W92" s="104">
        <f t="shared" si="5"/>
        <v>1844.84</v>
      </c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103">
        <v>45937.0</v>
      </c>
      <c r="O93" s="104">
        <f t="shared" ref="O93:R93" si="97">O92</f>
        <v>1844.44</v>
      </c>
      <c r="P93" s="104">
        <f t="shared" si="97"/>
        <v>1650.78</v>
      </c>
      <c r="Q93" s="104">
        <f t="shared" si="97"/>
        <v>184.44</v>
      </c>
      <c r="R93" s="104">
        <f t="shared" si="97"/>
        <v>9.22</v>
      </c>
      <c r="S93" s="104"/>
      <c r="T93" s="104">
        <f t="shared" si="3"/>
        <v>1650.58</v>
      </c>
      <c r="U93" s="104">
        <f t="shared" si="4"/>
        <v>-0.1999999999</v>
      </c>
      <c r="V93" s="104">
        <f t="shared" si="7"/>
        <v>1844.84</v>
      </c>
      <c r="W93" s="104">
        <f t="shared" si="5"/>
        <v>0.3999999998</v>
      </c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11"/>
      <c r="O95" s="7"/>
      <c r="P95" s="7"/>
      <c r="Q95" s="7"/>
      <c r="R95" s="7"/>
      <c r="S95" s="7"/>
      <c r="T95" s="7"/>
      <c r="U95" s="7"/>
      <c r="V95" s="7"/>
      <c r="W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11"/>
      <c r="O97" s="7"/>
      <c r="P97" s="7"/>
      <c r="Q97" s="7"/>
      <c r="R97" s="7"/>
      <c r="S97" s="7"/>
      <c r="T97" s="7"/>
      <c r="U97" s="7"/>
      <c r="V97" s="7"/>
      <c r="W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>
      <c r="A264" s="89"/>
      <c r="B264" s="89"/>
      <c r="C264" s="89"/>
      <c r="D264" s="89"/>
      <c r="E264" s="89"/>
      <c r="F264" s="89"/>
      <c r="G264" s="89"/>
      <c r="H264" s="89"/>
      <c r="I264" s="89"/>
      <c r="J264" s="89"/>
    </row>
    <row r="265">
      <c r="A265" s="89"/>
      <c r="B265" s="89"/>
      <c r="C265" s="89"/>
      <c r="D265" s="89"/>
      <c r="E265" s="89"/>
      <c r="F265" s="89"/>
      <c r="G265" s="89"/>
      <c r="H265" s="89"/>
      <c r="I265" s="89"/>
      <c r="J265" s="89"/>
    </row>
    <row r="266">
      <c r="A266" s="89"/>
      <c r="B266" s="89"/>
      <c r="C266" s="89"/>
      <c r="D266" s="89"/>
      <c r="E266" s="89"/>
      <c r="F266" s="89"/>
      <c r="G266" s="89"/>
      <c r="H266" s="89"/>
      <c r="I266" s="89"/>
      <c r="J266" s="89"/>
    </row>
    <row r="267">
      <c r="A267" s="89"/>
      <c r="B267" s="89"/>
      <c r="C267" s="89"/>
      <c r="D267" s="89"/>
      <c r="E267" s="89"/>
      <c r="F267" s="89"/>
      <c r="G267" s="89"/>
      <c r="H267" s="89"/>
      <c r="I267" s="89"/>
      <c r="J267" s="89"/>
    </row>
    <row r="268">
      <c r="A268" s="89"/>
      <c r="B268" s="89"/>
      <c r="C268" s="89"/>
      <c r="D268" s="89"/>
      <c r="E268" s="89"/>
      <c r="F268" s="89"/>
      <c r="G268" s="89"/>
      <c r="H268" s="89"/>
      <c r="I268" s="89"/>
      <c r="J268" s="89"/>
    </row>
    <row r="269">
      <c r="A269" s="89"/>
      <c r="B269" s="89"/>
      <c r="C269" s="89"/>
      <c r="D269" s="89"/>
      <c r="E269" s="89"/>
      <c r="F269" s="89"/>
      <c r="G269" s="89"/>
      <c r="H269" s="89"/>
      <c r="I269" s="89"/>
      <c r="J269" s="89"/>
    </row>
    <row r="270">
      <c r="A270" s="89"/>
      <c r="B270" s="89"/>
      <c r="C270" s="89"/>
      <c r="D270" s="89"/>
      <c r="E270" s="89"/>
      <c r="F270" s="89"/>
      <c r="G270" s="89"/>
      <c r="H270" s="89"/>
      <c r="I270" s="89"/>
      <c r="J270" s="89"/>
    </row>
    <row r="271">
      <c r="A271" s="89"/>
      <c r="B271" s="89"/>
      <c r="C271" s="89"/>
      <c r="D271" s="89"/>
      <c r="E271" s="89"/>
      <c r="F271" s="89"/>
      <c r="G271" s="89"/>
      <c r="H271" s="89"/>
      <c r="I271" s="89"/>
      <c r="J271" s="89"/>
    </row>
    <row r="272">
      <c r="A272" s="89"/>
      <c r="B272" s="89"/>
      <c r="C272" s="89"/>
      <c r="D272" s="89"/>
      <c r="E272" s="89"/>
      <c r="F272" s="89"/>
      <c r="G272" s="89"/>
      <c r="H272" s="89"/>
      <c r="I272" s="89"/>
      <c r="J272" s="89"/>
    </row>
    <row r="273">
      <c r="A273" s="89"/>
      <c r="B273" s="89"/>
      <c r="C273" s="89"/>
      <c r="D273" s="89"/>
      <c r="E273" s="89"/>
      <c r="F273" s="89"/>
      <c r="G273" s="89"/>
      <c r="H273" s="89"/>
      <c r="I273" s="89"/>
      <c r="J273" s="89"/>
    </row>
    <row r="274">
      <c r="A274" s="89"/>
      <c r="B274" s="89"/>
      <c r="C274" s="89"/>
      <c r="D274" s="89"/>
      <c r="E274" s="89"/>
      <c r="F274" s="89"/>
      <c r="G274" s="89"/>
      <c r="H274" s="89"/>
      <c r="I274" s="89"/>
      <c r="J274" s="89"/>
    </row>
    <row r="275">
      <c r="A275" s="89"/>
      <c r="B275" s="89"/>
      <c r="C275" s="89"/>
      <c r="D275" s="89"/>
      <c r="E275" s="89"/>
      <c r="F275" s="89"/>
      <c r="G275" s="89"/>
      <c r="H275" s="89"/>
      <c r="I275" s="89"/>
      <c r="J275" s="89"/>
    </row>
    <row r="276">
      <c r="A276" s="89"/>
      <c r="B276" s="89"/>
      <c r="C276" s="89"/>
      <c r="D276" s="89"/>
      <c r="E276" s="89"/>
      <c r="F276" s="89"/>
      <c r="G276" s="89"/>
      <c r="H276" s="89"/>
      <c r="I276" s="89"/>
      <c r="J276" s="89"/>
    </row>
  </sheetData>
  <mergeCells count="8">
    <mergeCell ref="A1:C1"/>
    <mergeCell ref="A2:C2"/>
    <mergeCell ref="F17:G17"/>
    <mergeCell ref="C41:D41"/>
    <mergeCell ref="C50:D50"/>
    <mergeCell ref="C62:D62"/>
    <mergeCell ref="C71:D71"/>
    <mergeCell ref="C77:D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4.88"/>
    <col customWidth="1" min="7" max="7" width="24.75"/>
    <col customWidth="1" min="10" max="10" width="19.63"/>
    <col customWidth="1" min="12" max="12" width="22.38"/>
  </cols>
  <sheetData>
    <row r="1">
      <c r="A1" s="89"/>
      <c r="D1" s="89"/>
      <c r="E1" s="89"/>
      <c r="F1" s="89"/>
      <c r="G1" s="89"/>
      <c r="H1" s="89"/>
      <c r="I1" s="89"/>
      <c r="J1" s="89"/>
      <c r="K1" s="7"/>
      <c r="L1" s="7"/>
      <c r="M1" s="8" t="s">
        <v>120</v>
      </c>
      <c r="N1" s="7"/>
      <c r="O1" s="7"/>
      <c r="P1" s="7"/>
      <c r="Q1" s="7"/>
      <c r="R1" s="7"/>
      <c r="S1" s="7"/>
      <c r="T1" s="7"/>
      <c r="U1" s="7"/>
      <c r="V1" s="7"/>
      <c r="W1" s="7"/>
    </row>
    <row r="2">
      <c r="A2" s="91" t="s">
        <v>158</v>
      </c>
      <c r="D2" s="7"/>
      <c r="E2" s="7"/>
      <c r="F2" s="92" t="s">
        <v>159</v>
      </c>
      <c r="G2" s="93">
        <v>1.1</v>
      </c>
      <c r="H2" s="7"/>
      <c r="I2" s="7"/>
      <c r="J2" s="7"/>
      <c r="K2" s="7"/>
      <c r="L2" s="7"/>
      <c r="M2" s="8" t="s">
        <v>120</v>
      </c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A3" s="7"/>
      <c r="B3" s="94" t="s">
        <v>160</v>
      </c>
      <c r="C3" s="7"/>
      <c r="D3" s="7"/>
      <c r="E3" s="7"/>
      <c r="F3" s="7"/>
      <c r="G3" s="7"/>
      <c r="H3" s="7"/>
      <c r="I3" s="7"/>
      <c r="J3" s="11" t="s">
        <v>246</v>
      </c>
      <c r="K3" s="116">
        <f>V4</f>
        <v>166000</v>
      </c>
      <c r="L3" s="7"/>
      <c r="M3" s="53" t="s">
        <v>121</v>
      </c>
      <c r="N3" s="95" t="s">
        <v>122</v>
      </c>
      <c r="O3" s="95" t="s">
        <v>161</v>
      </c>
      <c r="P3" s="53" t="s">
        <v>124</v>
      </c>
      <c r="Q3" s="53" t="s">
        <v>162</v>
      </c>
      <c r="R3" s="53" t="s">
        <v>163</v>
      </c>
      <c r="S3" s="96" t="s">
        <v>150</v>
      </c>
      <c r="T3" s="53" t="s">
        <v>114</v>
      </c>
      <c r="U3" s="53" t="s">
        <v>126</v>
      </c>
      <c r="V3" s="53" t="s">
        <v>164</v>
      </c>
      <c r="W3" s="53" t="s">
        <v>165</v>
      </c>
    </row>
    <row r="4">
      <c r="A4" s="94" t="s">
        <v>166</v>
      </c>
      <c r="B4" s="7"/>
      <c r="C4" s="7"/>
      <c r="D4" s="7"/>
      <c r="E4" s="7"/>
      <c r="F4" s="7"/>
      <c r="G4" s="7"/>
      <c r="H4" s="7"/>
      <c r="I4" s="7"/>
      <c r="J4" s="11" t="s">
        <v>247</v>
      </c>
      <c r="K4" s="7">
        <f>1.1*V4</f>
        <v>182600</v>
      </c>
      <c r="L4" s="7"/>
      <c r="M4" s="54">
        <v>1.0</v>
      </c>
      <c r="N4" s="97">
        <v>45965.0</v>
      </c>
      <c r="O4" s="98">
        <v>1844.44</v>
      </c>
      <c r="P4" s="98">
        <v>1650.78</v>
      </c>
      <c r="Q4" s="98">
        <v>184.44</v>
      </c>
      <c r="R4" s="98">
        <v>9.22</v>
      </c>
      <c r="S4" s="99" t="s">
        <v>248</v>
      </c>
      <c r="T4" s="99">
        <v>148570.0</v>
      </c>
      <c r="U4" s="99">
        <v>146919.22</v>
      </c>
      <c r="V4" s="99">
        <v>166000.0</v>
      </c>
      <c r="W4" s="99">
        <v>164155.56</v>
      </c>
      <c r="Y4" s="100">
        <v>90.0</v>
      </c>
      <c r="Z4" s="100">
        <v>1.1</v>
      </c>
    </row>
    <row r="5">
      <c r="A5" s="7"/>
      <c r="B5" s="7"/>
      <c r="C5" s="101" t="s">
        <v>57</v>
      </c>
      <c r="D5" s="102" t="s">
        <v>167</v>
      </c>
      <c r="E5" s="30"/>
      <c r="F5" s="7"/>
      <c r="G5" s="7"/>
      <c r="H5" s="7"/>
      <c r="I5" s="7"/>
      <c r="J5" s="11" t="s">
        <v>249</v>
      </c>
      <c r="K5" s="116">
        <f>K4-V4</f>
        <v>16600</v>
      </c>
      <c r="L5" s="7"/>
      <c r="M5" s="54">
        <v>2.0</v>
      </c>
      <c r="N5" s="103">
        <v>45995.0</v>
      </c>
      <c r="O5" s="104">
        <f t="shared" ref="O5:R5" si="1">O4</f>
        <v>1844.44</v>
      </c>
      <c r="P5" s="104">
        <f t="shared" si="1"/>
        <v>1650.78</v>
      </c>
      <c r="Q5" s="104">
        <f t="shared" si="1"/>
        <v>184.44</v>
      </c>
      <c r="R5" s="104">
        <f t="shared" si="1"/>
        <v>9.22</v>
      </c>
      <c r="S5" s="99" t="s">
        <v>248</v>
      </c>
      <c r="T5" s="104">
        <f t="shared" ref="T5:T93" si="3">U4</f>
        <v>146919.22</v>
      </c>
      <c r="U5" s="104">
        <f t="shared" ref="U5:U93" si="4">T5-P5</f>
        <v>145268.44</v>
      </c>
      <c r="V5" s="104">
        <f>W4</f>
        <v>164155.56</v>
      </c>
      <c r="W5" s="104">
        <f t="shared" ref="W5:W93" si="5">V5-O5</f>
        <v>162311.12</v>
      </c>
      <c r="Y5" s="100">
        <v>120.0</v>
      </c>
      <c r="Z5" s="100">
        <v>1.15</v>
      </c>
    </row>
    <row r="6">
      <c r="A6" s="92" t="s">
        <v>0</v>
      </c>
      <c r="B6" s="92" t="s">
        <v>1</v>
      </c>
      <c r="C6" s="92" t="s">
        <v>2</v>
      </c>
      <c r="D6" s="92" t="s">
        <v>3</v>
      </c>
      <c r="E6" s="92" t="s">
        <v>4</v>
      </c>
      <c r="F6" s="92" t="s">
        <v>5</v>
      </c>
      <c r="G6" s="92" t="s">
        <v>6</v>
      </c>
      <c r="H6" s="105" t="s">
        <v>7</v>
      </c>
      <c r="I6" s="9" t="s">
        <v>8</v>
      </c>
      <c r="J6" s="11" t="s">
        <v>163</v>
      </c>
      <c r="K6" s="7">
        <f>0.05*K5</f>
        <v>830</v>
      </c>
      <c r="L6" s="7"/>
      <c r="M6" s="54">
        <v>3.0</v>
      </c>
      <c r="N6" s="103" t="s">
        <v>168</v>
      </c>
      <c r="O6" s="104">
        <f t="shared" ref="O6:R6" si="2">O5</f>
        <v>1844.44</v>
      </c>
      <c r="P6" s="104">
        <f t="shared" si="2"/>
        <v>1650.78</v>
      </c>
      <c r="Q6" s="104">
        <f t="shared" si="2"/>
        <v>184.44</v>
      </c>
      <c r="R6" s="104">
        <f t="shared" si="2"/>
        <v>9.22</v>
      </c>
      <c r="S6" s="99" t="s">
        <v>248</v>
      </c>
      <c r="T6" s="104">
        <f t="shared" si="3"/>
        <v>145268.44</v>
      </c>
      <c r="U6" s="104">
        <f t="shared" si="4"/>
        <v>143617.66</v>
      </c>
      <c r="V6" s="104">
        <f t="shared" ref="V6:V93" si="7">V5-O6</f>
        <v>162311.12</v>
      </c>
      <c r="W6" s="104">
        <f t="shared" si="5"/>
        <v>160466.68</v>
      </c>
      <c r="Y6" s="100">
        <v>180.0</v>
      </c>
      <c r="Z6" s="100">
        <v>1.18</v>
      </c>
    </row>
    <row r="7">
      <c r="A7" s="106">
        <v>1.0</v>
      </c>
      <c r="B7" s="106" t="s">
        <v>9</v>
      </c>
      <c r="C7" s="106" t="s">
        <v>10</v>
      </c>
      <c r="D7" s="107" t="s">
        <v>169</v>
      </c>
      <c r="E7" s="106" t="s">
        <v>12</v>
      </c>
      <c r="F7" s="106" t="s">
        <v>13</v>
      </c>
      <c r="G7" s="106" t="s">
        <v>170</v>
      </c>
      <c r="H7" s="108">
        <f>H12</f>
        <v>148570</v>
      </c>
      <c r="I7" s="117">
        <v>100053.0</v>
      </c>
      <c r="J7" s="118" t="s">
        <v>250</v>
      </c>
      <c r="K7" s="116">
        <f>V4-K5-K6</f>
        <v>148570</v>
      </c>
      <c r="L7" s="7"/>
      <c r="M7" s="54">
        <v>4.0</v>
      </c>
      <c r="N7" s="103" t="s">
        <v>171</v>
      </c>
      <c r="O7" s="104">
        <f t="shared" ref="O7:R7" si="6">O6</f>
        <v>1844.44</v>
      </c>
      <c r="P7" s="104">
        <f t="shared" si="6"/>
        <v>1650.78</v>
      </c>
      <c r="Q7" s="104">
        <f t="shared" si="6"/>
        <v>184.44</v>
      </c>
      <c r="R7" s="104">
        <f t="shared" si="6"/>
        <v>9.22</v>
      </c>
      <c r="S7" s="99" t="s">
        <v>248</v>
      </c>
      <c r="T7" s="104">
        <f t="shared" si="3"/>
        <v>143617.66</v>
      </c>
      <c r="U7" s="104">
        <f t="shared" si="4"/>
        <v>141966.88</v>
      </c>
      <c r="V7" s="104">
        <f t="shared" si="7"/>
        <v>160466.68</v>
      </c>
      <c r="W7" s="104">
        <f t="shared" si="5"/>
        <v>158622.24</v>
      </c>
    </row>
    <row r="8">
      <c r="A8" s="106">
        <v>1.0</v>
      </c>
      <c r="B8" s="106" t="s">
        <v>9</v>
      </c>
      <c r="C8" s="106" t="s">
        <v>10</v>
      </c>
      <c r="D8" s="107" t="s">
        <v>172</v>
      </c>
      <c r="E8" s="106" t="s">
        <v>12</v>
      </c>
      <c r="F8" s="106" t="s">
        <v>13</v>
      </c>
      <c r="G8" s="106" t="s">
        <v>173</v>
      </c>
      <c r="H8" s="108">
        <f t="shared" ref="H8:H9" si="9">H10</f>
        <v>16600</v>
      </c>
      <c r="I8" s="119">
        <v>100064.0</v>
      </c>
      <c r="J8" s="11"/>
      <c r="K8" s="7"/>
      <c r="L8" s="7"/>
      <c r="M8" s="54">
        <v>5.0</v>
      </c>
      <c r="N8" s="103" t="s">
        <v>174</v>
      </c>
      <c r="O8" s="104">
        <f t="shared" ref="O8:R8" si="8">O7</f>
        <v>1844.44</v>
      </c>
      <c r="P8" s="104">
        <f t="shared" si="8"/>
        <v>1650.78</v>
      </c>
      <c r="Q8" s="104">
        <f t="shared" si="8"/>
        <v>184.44</v>
      </c>
      <c r="R8" s="104">
        <f t="shared" si="8"/>
        <v>9.22</v>
      </c>
      <c r="S8" s="99" t="s">
        <v>248</v>
      </c>
      <c r="T8" s="104">
        <f t="shared" si="3"/>
        <v>141966.88</v>
      </c>
      <c r="U8" s="104">
        <f t="shared" si="4"/>
        <v>140316.1</v>
      </c>
      <c r="V8" s="104">
        <f t="shared" si="7"/>
        <v>158622.24</v>
      </c>
      <c r="W8" s="104">
        <f t="shared" si="5"/>
        <v>156777.8</v>
      </c>
    </row>
    <row r="9">
      <c r="A9" s="106">
        <v>1.0</v>
      </c>
      <c r="B9" s="106" t="s">
        <v>9</v>
      </c>
      <c r="C9" s="106" t="s">
        <v>10</v>
      </c>
      <c r="D9" s="107" t="s">
        <v>36</v>
      </c>
      <c r="E9" s="106" t="s">
        <v>22</v>
      </c>
      <c r="F9" s="106" t="s">
        <v>13</v>
      </c>
      <c r="G9" s="106" t="s">
        <v>175</v>
      </c>
      <c r="H9" s="108">
        <f t="shared" si="9"/>
        <v>830</v>
      </c>
      <c r="I9" s="117">
        <v>200065.0</v>
      </c>
      <c r="J9" s="11" t="s">
        <v>251</v>
      </c>
      <c r="K9" s="7">
        <f t="shared" ref="K9:K10" si="11">K5/90</f>
        <v>184.4444444</v>
      </c>
      <c r="L9" s="11" t="s">
        <v>252</v>
      </c>
      <c r="M9" s="54">
        <v>6.0</v>
      </c>
      <c r="N9" s="103" t="s">
        <v>176</v>
      </c>
      <c r="O9" s="104">
        <f t="shared" ref="O9:R9" si="10">O8</f>
        <v>1844.44</v>
      </c>
      <c r="P9" s="104">
        <f t="shared" si="10"/>
        <v>1650.78</v>
      </c>
      <c r="Q9" s="104">
        <f t="shared" si="10"/>
        <v>184.44</v>
      </c>
      <c r="R9" s="104">
        <f t="shared" si="10"/>
        <v>9.22</v>
      </c>
      <c r="S9" s="99" t="s">
        <v>248</v>
      </c>
      <c r="T9" s="104">
        <f t="shared" si="3"/>
        <v>140316.1</v>
      </c>
      <c r="U9" s="104">
        <f t="shared" si="4"/>
        <v>138665.32</v>
      </c>
      <c r="V9" s="104">
        <f t="shared" si="7"/>
        <v>156777.8</v>
      </c>
      <c r="W9" s="104">
        <f t="shared" si="5"/>
        <v>154933.36</v>
      </c>
    </row>
    <row r="10">
      <c r="A10" s="106">
        <v>1.0</v>
      </c>
      <c r="B10" s="106" t="s">
        <v>9</v>
      </c>
      <c r="C10" s="106" t="s">
        <v>10</v>
      </c>
      <c r="D10" s="107" t="s">
        <v>177</v>
      </c>
      <c r="E10" s="106" t="s">
        <v>22</v>
      </c>
      <c r="F10" s="106" t="s">
        <v>19</v>
      </c>
      <c r="G10" s="109" t="s">
        <v>178</v>
      </c>
      <c r="H10" s="108">
        <v>16600.0</v>
      </c>
      <c r="I10" s="119">
        <v>200084.0</v>
      </c>
      <c r="J10" s="11" t="s">
        <v>253</v>
      </c>
      <c r="K10" s="7">
        <f t="shared" si="11"/>
        <v>9.222222222</v>
      </c>
      <c r="L10" s="11" t="s">
        <v>254</v>
      </c>
      <c r="M10" s="54">
        <v>7.0</v>
      </c>
      <c r="N10" s="103" t="s">
        <v>179</v>
      </c>
      <c r="O10" s="104">
        <f t="shared" ref="O10:R10" si="12">O9</f>
        <v>1844.44</v>
      </c>
      <c r="P10" s="104">
        <f t="shared" si="12"/>
        <v>1650.78</v>
      </c>
      <c r="Q10" s="104">
        <f t="shared" si="12"/>
        <v>184.44</v>
      </c>
      <c r="R10" s="104">
        <f t="shared" si="12"/>
        <v>9.22</v>
      </c>
      <c r="S10" s="104"/>
      <c r="T10" s="104">
        <f t="shared" si="3"/>
        <v>138665.32</v>
      </c>
      <c r="U10" s="104">
        <f t="shared" si="4"/>
        <v>137014.54</v>
      </c>
      <c r="V10" s="104">
        <f t="shared" si="7"/>
        <v>154933.36</v>
      </c>
      <c r="W10" s="104">
        <f t="shared" si="5"/>
        <v>153088.92</v>
      </c>
    </row>
    <row r="11">
      <c r="A11" s="106">
        <v>1.0</v>
      </c>
      <c r="B11" s="106" t="s">
        <v>9</v>
      </c>
      <c r="C11" s="106" t="s">
        <v>10</v>
      </c>
      <c r="D11" s="107" t="s">
        <v>36</v>
      </c>
      <c r="E11" s="106" t="s">
        <v>22</v>
      </c>
      <c r="F11" s="106" t="s">
        <v>19</v>
      </c>
      <c r="G11" s="106" t="s">
        <v>175</v>
      </c>
      <c r="H11" s="108">
        <v>830.0</v>
      </c>
      <c r="I11" s="119">
        <v>200065.0</v>
      </c>
      <c r="J11" s="11" t="s">
        <v>255</v>
      </c>
      <c r="K11" s="7">
        <f>166000/90</f>
        <v>1844.444444</v>
      </c>
      <c r="L11" s="11" t="s">
        <v>256</v>
      </c>
      <c r="M11" s="54">
        <v>8.0</v>
      </c>
      <c r="N11" s="103" t="s">
        <v>180</v>
      </c>
      <c r="O11" s="104">
        <f t="shared" ref="O11:R11" si="13">O10</f>
        <v>1844.44</v>
      </c>
      <c r="P11" s="104">
        <f t="shared" si="13"/>
        <v>1650.78</v>
      </c>
      <c r="Q11" s="104">
        <f t="shared" si="13"/>
        <v>184.44</v>
      </c>
      <c r="R11" s="104">
        <f t="shared" si="13"/>
        <v>9.22</v>
      </c>
      <c r="S11" s="104"/>
      <c r="T11" s="104">
        <f t="shared" si="3"/>
        <v>137014.54</v>
      </c>
      <c r="U11" s="104">
        <f t="shared" si="4"/>
        <v>135363.76</v>
      </c>
      <c r="V11" s="104">
        <f t="shared" si="7"/>
        <v>153088.92</v>
      </c>
      <c r="W11" s="104">
        <f t="shared" si="5"/>
        <v>151244.48</v>
      </c>
    </row>
    <row r="12">
      <c r="A12" s="106">
        <v>1.0</v>
      </c>
      <c r="B12" s="106" t="s">
        <v>9</v>
      </c>
      <c r="C12" s="106" t="s">
        <v>10</v>
      </c>
      <c r="D12" s="107" t="s">
        <v>181</v>
      </c>
      <c r="E12" s="106" t="s">
        <v>22</v>
      </c>
      <c r="F12" s="106" t="s">
        <v>19</v>
      </c>
      <c r="G12" s="106" t="s">
        <v>23</v>
      </c>
      <c r="H12" s="108">
        <v>148570.0</v>
      </c>
      <c r="I12" s="117">
        <v>200043.0</v>
      </c>
      <c r="J12" s="118" t="s">
        <v>257</v>
      </c>
      <c r="K12" s="7">
        <f>K11-K9-K10</f>
        <v>1650.777778</v>
      </c>
      <c r="L12" s="11" t="s">
        <v>258</v>
      </c>
      <c r="M12" s="54">
        <v>9.0</v>
      </c>
      <c r="N12" s="103" t="s">
        <v>182</v>
      </c>
      <c r="O12" s="104">
        <f t="shared" ref="O12:R12" si="14">O11</f>
        <v>1844.44</v>
      </c>
      <c r="P12" s="104">
        <f t="shared" si="14"/>
        <v>1650.78</v>
      </c>
      <c r="Q12" s="104">
        <f t="shared" si="14"/>
        <v>184.44</v>
      </c>
      <c r="R12" s="104">
        <f t="shared" si="14"/>
        <v>9.22</v>
      </c>
      <c r="S12" s="104"/>
      <c r="T12" s="104">
        <f t="shared" si="3"/>
        <v>135363.76</v>
      </c>
      <c r="U12" s="104">
        <f t="shared" si="4"/>
        <v>133712.98</v>
      </c>
      <c r="V12" s="104">
        <f t="shared" si="7"/>
        <v>151244.48</v>
      </c>
      <c r="W12" s="104">
        <f t="shared" si="5"/>
        <v>149400.04</v>
      </c>
    </row>
    <row r="13">
      <c r="A13" s="110"/>
      <c r="B13" s="110"/>
      <c r="C13" s="110"/>
      <c r="D13" s="110"/>
      <c r="E13" s="110"/>
      <c r="F13" s="110"/>
      <c r="G13" s="110"/>
      <c r="H13" s="111"/>
      <c r="I13" s="110"/>
      <c r="J13" s="7"/>
      <c r="K13" s="7"/>
      <c r="L13" s="7"/>
      <c r="M13" s="54">
        <v>10.0</v>
      </c>
      <c r="N13" s="103" t="s">
        <v>183</v>
      </c>
      <c r="O13" s="104">
        <f t="shared" ref="O13:R13" si="15">O12</f>
        <v>1844.44</v>
      </c>
      <c r="P13" s="104">
        <f t="shared" si="15"/>
        <v>1650.78</v>
      </c>
      <c r="Q13" s="104">
        <f t="shared" si="15"/>
        <v>184.44</v>
      </c>
      <c r="R13" s="104">
        <f t="shared" si="15"/>
        <v>9.22</v>
      </c>
      <c r="S13" s="104"/>
      <c r="T13" s="104">
        <f t="shared" si="3"/>
        <v>133712.98</v>
      </c>
      <c r="U13" s="104">
        <f t="shared" si="4"/>
        <v>132062.2</v>
      </c>
      <c r="V13" s="104">
        <f t="shared" si="7"/>
        <v>149400.04</v>
      </c>
      <c r="W13" s="104">
        <f t="shared" si="5"/>
        <v>147555.6</v>
      </c>
    </row>
    <row r="14">
      <c r="A14" s="110"/>
      <c r="B14" s="110"/>
      <c r="C14" s="110"/>
      <c r="D14" s="110"/>
      <c r="E14" s="110"/>
      <c r="F14" s="110"/>
      <c r="G14" s="110"/>
      <c r="H14" s="111"/>
      <c r="I14" s="110"/>
      <c r="J14" s="7"/>
      <c r="K14" s="7"/>
      <c r="L14" s="7"/>
      <c r="M14" s="54">
        <v>11.0</v>
      </c>
      <c r="N14" s="103" t="s">
        <v>184</v>
      </c>
      <c r="O14" s="104">
        <f t="shared" ref="O14:R14" si="16">O13</f>
        <v>1844.44</v>
      </c>
      <c r="P14" s="104">
        <f t="shared" si="16"/>
        <v>1650.78</v>
      </c>
      <c r="Q14" s="104">
        <f t="shared" si="16"/>
        <v>184.44</v>
      </c>
      <c r="R14" s="104">
        <f t="shared" si="16"/>
        <v>9.22</v>
      </c>
      <c r="S14" s="104"/>
      <c r="T14" s="104">
        <f t="shared" si="3"/>
        <v>132062.2</v>
      </c>
      <c r="U14" s="104">
        <f t="shared" si="4"/>
        <v>130411.42</v>
      </c>
      <c r="V14" s="104">
        <f t="shared" si="7"/>
        <v>147555.6</v>
      </c>
      <c r="W14" s="104">
        <f t="shared" si="5"/>
        <v>145711.16</v>
      </c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120" t="s">
        <v>259</v>
      </c>
      <c r="L15" s="120"/>
      <c r="M15" s="54">
        <v>12.0</v>
      </c>
      <c r="N15" s="103" t="s">
        <v>185</v>
      </c>
      <c r="O15" s="104">
        <f t="shared" ref="O15:R15" si="17">O14</f>
        <v>1844.44</v>
      </c>
      <c r="P15" s="104">
        <f t="shared" si="17"/>
        <v>1650.78</v>
      </c>
      <c r="Q15" s="104">
        <f t="shared" si="17"/>
        <v>184.44</v>
      </c>
      <c r="R15" s="104">
        <f t="shared" si="17"/>
        <v>9.22</v>
      </c>
      <c r="S15" s="104"/>
      <c r="T15" s="104">
        <f t="shared" si="3"/>
        <v>130411.42</v>
      </c>
      <c r="U15" s="104">
        <f t="shared" si="4"/>
        <v>128760.64</v>
      </c>
      <c r="V15" s="104">
        <f t="shared" si="7"/>
        <v>145711.16</v>
      </c>
      <c r="W15" s="104">
        <f t="shared" si="5"/>
        <v>143866.72</v>
      </c>
    </row>
    <row r="16">
      <c r="A16" s="94" t="s">
        <v>39</v>
      </c>
      <c r="B16" s="7"/>
      <c r="C16" s="7"/>
      <c r="D16" s="7"/>
      <c r="E16" s="7"/>
      <c r="F16" s="7"/>
      <c r="G16" s="7"/>
      <c r="H16" s="7"/>
      <c r="I16" s="7"/>
      <c r="J16" s="7"/>
      <c r="K16" s="7">
        <f>I31</f>
        <v>200085</v>
      </c>
      <c r="L16" s="7"/>
      <c r="M16" s="54">
        <v>13.0</v>
      </c>
      <c r="N16" s="103" t="s">
        <v>186</v>
      </c>
      <c r="O16" s="104">
        <f t="shared" ref="O16:R16" si="18">O15</f>
        <v>1844.44</v>
      </c>
      <c r="P16" s="104">
        <f t="shared" si="18"/>
        <v>1650.78</v>
      </c>
      <c r="Q16" s="104">
        <f t="shared" si="18"/>
        <v>184.44</v>
      </c>
      <c r="R16" s="104">
        <f t="shared" si="18"/>
        <v>9.22</v>
      </c>
      <c r="S16" s="104"/>
      <c r="T16" s="104">
        <f t="shared" si="3"/>
        <v>128760.64</v>
      </c>
      <c r="U16" s="104">
        <f t="shared" si="4"/>
        <v>127109.86</v>
      </c>
      <c r="V16" s="104">
        <f t="shared" si="7"/>
        <v>143866.72</v>
      </c>
      <c r="W16" s="104">
        <f t="shared" si="5"/>
        <v>142022.28</v>
      </c>
    </row>
    <row r="17">
      <c r="A17" s="7"/>
      <c r="B17" s="7"/>
      <c r="C17" s="101" t="s">
        <v>57</v>
      </c>
      <c r="D17" s="102" t="s">
        <v>58</v>
      </c>
      <c r="E17" s="30"/>
      <c r="F17" s="34" t="s">
        <v>187</v>
      </c>
      <c r="H17" s="7"/>
      <c r="I17" s="7"/>
      <c r="J17" s="7"/>
      <c r="K17" s="7"/>
      <c r="L17" s="7"/>
      <c r="M17" s="54">
        <v>14.0</v>
      </c>
      <c r="N17" s="103" t="s">
        <v>188</v>
      </c>
      <c r="O17" s="104">
        <f t="shared" ref="O17:R17" si="19">O16</f>
        <v>1844.44</v>
      </c>
      <c r="P17" s="104">
        <f t="shared" si="19"/>
        <v>1650.78</v>
      </c>
      <c r="Q17" s="104">
        <f t="shared" si="19"/>
        <v>184.44</v>
      </c>
      <c r="R17" s="104">
        <f t="shared" si="19"/>
        <v>9.22</v>
      </c>
      <c r="S17" s="104"/>
      <c r="T17" s="104">
        <f t="shared" si="3"/>
        <v>127109.86</v>
      </c>
      <c r="U17" s="104">
        <f t="shared" si="4"/>
        <v>125459.08</v>
      </c>
      <c r="V17" s="104">
        <f t="shared" si="7"/>
        <v>142022.28</v>
      </c>
      <c r="W17" s="104">
        <f t="shared" si="5"/>
        <v>140177.84</v>
      </c>
    </row>
    <row r="18">
      <c r="A18" s="92" t="s">
        <v>0</v>
      </c>
      <c r="B18" s="92" t="s">
        <v>1</v>
      </c>
      <c r="C18" s="92" t="s">
        <v>2</v>
      </c>
      <c r="D18" s="92" t="s">
        <v>3</v>
      </c>
      <c r="E18" s="92" t="s">
        <v>4</v>
      </c>
      <c r="F18" s="92" t="s">
        <v>5</v>
      </c>
      <c r="G18" s="92" t="s">
        <v>6</v>
      </c>
      <c r="H18" s="105" t="s">
        <v>7</v>
      </c>
      <c r="I18" s="9" t="s">
        <v>8</v>
      </c>
      <c r="J18" s="7"/>
      <c r="K18" s="7"/>
      <c r="L18" s="7"/>
      <c r="M18" s="54">
        <v>15.0</v>
      </c>
      <c r="N18" s="103" t="s">
        <v>189</v>
      </c>
      <c r="O18" s="104">
        <f t="shared" ref="O18:R18" si="20">O17</f>
        <v>1844.44</v>
      </c>
      <c r="P18" s="104">
        <f t="shared" si="20"/>
        <v>1650.78</v>
      </c>
      <c r="Q18" s="104">
        <f t="shared" si="20"/>
        <v>184.44</v>
      </c>
      <c r="R18" s="104">
        <f t="shared" si="20"/>
        <v>9.22</v>
      </c>
      <c r="S18" s="104"/>
      <c r="T18" s="104">
        <f t="shared" si="3"/>
        <v>125459.08</v>
      </c>
      <c r="U18" s="104">
        <f t="shared" si="4"/>
        <v>123808.3</v>
      </c>
      <c r="V18" s="104">
        <f t="shared" si="7"/>
        <v>140177.84</v>
      </c>
      <c r="W18" s="104">
        <f t="shared" si="5"/>
        <v>138333.4</v>
      </c>
    </row>
    <row r="19">
      <c r="A19" s="106">
        <v>2.0</v>
      </c>
      <c r="B19" s="106" t="s">
        <v>9</v>
      </c>
      <c r="C19" s="106" t="s">
        <v>10</v>
      </c>
      <c r="D19" s="107" t="s">
        <v>181</v>
      </c>
      <c r="E19" s="106" t="s">
        <v>22</v>
      </c>
      <c r="F19" s="106" t="s">
        <v>13</v>
      </c>
      <c r="G19" s="107" t="s">
        <v>23</v>
      </c>
      <c r="H19" s="108">
        <v>148570.0</v>
      </c>
      <c r="I19" s="117">
        <v>200043.0</v>
      </c>
      <c r="J19" s="7"/>
      <c r="L19" s="7"/>
      <c r="M19" s="54">
        <v>16.0</v>
      </c>
      <c r="N19" s="103" t="s">
        <v>190</v>
      </c>
      <c r="O19" s="104">
        <f t="shared" ref="O19:R19" si="21">O18</f>
        <v>1844.44</v>
      </c>
      <c r="P19" s="104">
        <f t="shared" si="21"/>
        <v>1650.78</v>
      </c>
      <c r="Q19" s="104">
        <f t="shared" si="21"/>
        <v>184.44</v>
      </c>
      <c r="R19" s="104">
        <f t="shared" si="21"/>
        <v>9.22</v>
      </c>
      <c r="S19" s="104"/>
      <c r="T19" s="104">
        <f t="shared" si="3"/>
        <v>123808.3</v>
      </c>
      <c r="U19" s="104">
        <f t="shared" si="4"/>
        <v>122157.52</v>
      </c>
      <c r="V19" s="104">
        <f t="shared" si="7"/>
        <v>138333.4</v>
      </c>
      <c r="W19" s="104">
        <f t="shared" si="5"/>
        <v>136488.96</v>
      </c>
    </row>
    <row r="20">
      <c r="A20" s="106">
        <v>2.0</v>
      </c>
      <c r="B20" s="106" t="s">
        <v>9</v>
      </c>
      <c r="C20" s="106" t="s">
        <v>10</v>
      </c>
      <c r="D20" s="107" t="s">
        <v>60</v>
      </c>
      <c r="E20" s="106" t="s">
        <v>61</v>
      </c>
      <c r="F20" s="106" t="s">
        <v>19</v>
      </c>
      <c r="G20" s="107" t="s">
        <v>62</v>
      </c>
      <c r="H20" s="108">
        <v>148570.0</v>
      </c>
      <c r="I20" s="117">
        <v>100003.0</v>
      </c>
      <c r="J20" s="7"/>
      <c r="K20" s="7"/>
      <c r="L20" s="7"/>
      <c r="M20" s="54">
        <v>17.0</v>
      </c>
      <c r="N20" s="103" t="s">
        <v>191</v>
      </c>
      <c r="O20" s="104">
        <f t="shared" ref="O20:R20" si="22">O19</f>
        <v>1844.44</v>
      </c>
      <c r="P20" s="104">
        <f t="shared" si="22"/>
        <v>1650.78</v>
      </c>
      <c r="Q20" s="104">
        <f t="shared" si="22"/>
        <v>184.44</v>
      </c>
      <c r="R20" s="104">
        <f t="shared" si="22"/>
        <v>9.22</v>
      </c>
      <c r="S20" s="104"/>
      <c r="T20" s="104">
        <f t="shared" si="3"/>
        <v>122157.52</v>
      </c>
      <c r="U20" s="104">
        <f t="shared" si="4"/>
        <v>120506.74</v>
      </c>
      <c r="V20" s="104">
        <f t="shared" si="7"/>
        <v>136488.96</v>
      </c>
      <c r="W20" s="104">
        <f t="shared" si="5"/>
        <v>134644.52</v>
      </c>
    </row>
    <row r="21">
      <c r="A21" s="43" t="s">
        <v>192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54">
        <v>19.0</v>
      </c>
      <c r="N21" s="103" t="s">
        <v>193</v>
      </c>
      <c r="O21" s="104">
        <f t="shared" ref="O21:R21" si="23">O20</f>
        <v>1844.44</v>
      </c>
      <c r="P21" s="104">
        <f t="shared" si="23"/>
        <v>1650.78</v>
      </c>
      <c r="Q21" s="104">
        <f t="shared" si="23"/>
        <v>184.44</v>
      </c>
      <c r="R21" s="104">
        <f t="shared" si="23"/>
        <v>9.22</v>
      </c>
      <c r="S21" s="104"/>
      <c r="T21" s="104">
        <f t="shared" si="3"/>
        <v>120506.74</v>
      </c>
      <c r="U21" s="104">
        <f t="shared" si="4"/>
        <v>118855.96</v>
      </c>
      <c r="V21" s="104">
        <f t="shared" si="7"/>
        <v>134644.52</v>
      </c>
      <c r="W21" s="104">
        <f t="shared" si="5"/>
        <v>132800.08</v>
      </c>
    </row>
    <row r="22">
      <c r="A22" s="7"/>
      <c r="B22" s="7"/>
      <c r="C22" s="31" t="s">
        <v>57</v>
      </c>
      <c r="D22" s="102" t="s">
        <v>194</v>
      </c>
      <c r="E22" s="34" t="s">
        <v>187</v>
      </c>
      <c r="F22" s="7"/>
      <c r="G22" s="7"/>
      <c r="H22" s="7"/>
      <c r="I22" s="89"/>
      <c r="J22" s="7"/>
      <c r="K22" s="7"/>
      <c r="L22" s="7"/>
      <c r="M22" s="54">
        <v>20.0</v>
      </c>
      <c r="N22" s="103" t="s">
        <v>118</v>
      </c>
      <c r="O22" s="104">
        <f t="shared" ref="O22:R22" si="24">O21</f>
        <v>1844.44</v>
      </c>
      <c r="P22" s="104">
        <f t="shared" si="24"/>
        <v>1650.78</v>
      </c>
      <c r="Q22" s="104">
        <f t="shared" si="24"/>
        <v>184.44</v>
      </c>
      <c r="R22" s="104">
        <f t="shared" si="24"/>
        <v>9.22</v>
      </c>
      <c r="S22" s="104"/>
      <c r="T22" s="104">
        <f t="shared" si="3"/>
        <v>118855.96</v>
      </c>
      <c r="U22" s="104">
        <f t="shared" si="4"/>
        <v>117205.18</v>
      </c>
      <c r="V22" s="104">
        <f t="shared" si="7"/>
        <v>132800.08</v>
      </c>
      <c r="W22" s="104">
        <f t="shared" si="5"/>
        <v>130955.64</v>
      </c>
    </row>
    <row r="23">
      <c r="A23" s="92" t="s">
        <v>0</v>
      </c>
      <c r="B23" s="92" t="s">
        <v>1</v>
      </c>
      <c r="C23" s="92" t="s">
        <v>2</v>
      </c>
      <c r="D23" s="92" t="s">
        <v>3</v>
      </c>
      <c r="E23" s="92" t="s">
        <v>4</v>
      </c>
      <c r="F23" s="92" t="s">
        <v>5</v>
      </c>
      <c r="G23" s="92" t="s">
        <v>6</v>
      </c>
      <c r="H23" s="92" t="s">
        <v>7</v>
      </c>
      <c r="I23" s="9" t="s">
        <v>8</v>
      </c>
      <c r="J23" s="7"/>
      <c r="K23" s="11"/>
      <c r="L23" s="7"/>
      <c r="M23" s="54">
        <v>21.0</v>
      </c>
      <c r="N23" s="103">
        <v>45662.0</v>
      </c>
      <c r="O23" s="104">
        <f t="shared" ref="O23:R23" si="25">O22</f>
        <v>1844.44</v>
      </c>
      <c r="P23" s="104">
        <f t="shared" si="25"/>
        <v>1650.78</v>
      </c>
      <c r="Q23" s="104">
        <f t="shared" si="25"/>
        <v>184.44</v>
      </c>
      <c r="R23" s="104">
        <f t="shared" si="25"/>
        <v>9.22</v>
      </c>
      <c r="S23" s="104"/>
      <c r="T23" s="104">
        <f t="shared" si="3"/>
        <v>117205.18</v>
      </c>
      <c r="U23" s="104">
        <f t="shared" si="4"/>
        <v>115554.4</v>
      </c>
      <c r="V23" s="104">
        <f t="shared" si="7"/>
        <v>130955.64</v>
      </c>
      <c r="W23" s="104">
        <f t="shared" si="5"/>
        <v>129111.2</v>
      </c>
    </row>
    <row r="24">
      <c r="A24" s="106">
        <v>3.0</v>
      </c>
      <c r="B24" s="14" t="s">
        <v>66</v>
      </c>
      <c r="C24" s="106" t="s">
        <v>10</v>
      </c>
      <c r="D24" s="107" t="s">
        <v>195</v>
      </c>
      <c r="E24" s="106" t="s">
        <v>18</v>
      </c>
      <c r="F24" s="106" t="s">
        <v>19</v>
      </c>
      <c r="G24" s="107" t="s">
        <v>196</v>
      </c>
      <c r="H24" s="108">
        <f>Q4</f>
        <v>184.44</v>
      </c>
      <c r="I24" s="117">
        <v>300012.0</v>
      </c>
      <c r="J24" s="7"/>
      <c r="K24" s="7"/>
      <c r="L24" s="7"/>
      <c r="M24" s="54">
        <v>22.0</v>
      </c>
      <c r="N24" s="103">
        <v>45693.0</v>
      </c>
      <c r="O24" s="104">
        <f t="shared" ref="O24:R24" si="26">O23</f>
        <v>1844.44</v>
      </c>
      <c r="P24" s="104">
        <f t="shared" si="26"/>
        <v>1650.78</v>
      </c>
      <c r="Q24" s="104">
        <f t="shared" si="26"/>
        <v>184.44</v>
      </c>
      <c r="R24" s="104">
        <f t="shared" si="26"/>
        <v>9.22</v>
      </c>
      <c r="S24" s="104"/>
      <c r="T24" s="104">
        <f t="shared" si="3"/>
        <v>115554.4</v>
      </c>
      <c r="U24" s="104">
        <f t="shared" si="4"/>
        <v>113903.62</v>
      </c>
      <c r="V24" s="104">
        <f t="shared" si="7"/>
        <v>129111.2</v>
      </c>
      <c r="W24" s="104">
        <f t="shared" si="5"/>
        <v>127266.76</v>
      </c>
    </row>
    <row r="25">
      <c r="A25" s="106">
        <v>3.0</v>
      </c>
      <c r="B25" s="14" t="s">
        <v>66</v>
      </c>
      <c r="C25" s="106" t="s">
        <v>10</v>
      </c>
      <c r="D25" s="107" t="str">
        <f t="shared" ref="D25:E25" si="27">D10</f>
        <v>Deferred Processing fee revenue </v>
      </c>
      <c r="E25" s="107" t="str">
        <f t="shared" si="27"/>
        <v>Current Liability</v>
      </c>
      <c r="F25" s="106" t="s">
        <v>13</v>
      </c>
      <c r="G25" s="107" t="str">
        <f>G10</f>
        <v>Deferred Processing fee income</v>
      </c>
      <c r="H25" s="108">
        <f>H24</f>
        <v>184.44</v>
      </c>
      <c r="I25" s="119">
        <v>200084.0</v>
      </c>
      <c r="J25" s="7"/>
      <c r="K25" s="7"/>
      <c r="L25" s="7"/>
      <c r="M25" s="54">
        <v>23.0</v>
      </c>
      <c r="N25" s="103">
        <v>45721.0</v>
      </c>
      <c r="O25" s="104">
        <f t="shared" ref="O25:R25" si="28">O24</f>
        <v>1844.44</v>
      </c>
      <c r="P25" s="104">
        <f t="shared" si="28"/>
        <v>1650.78</v>
      </c>
      <c r="Q25" s="104">
        <f t="shared" si="28"/>
        <v>184.44</v>
      </c>
      <c r="R25" s="104">
        <f t="shared" si="28"/>
        <v>9.22</v>
      </c>
      <c r="S25" s="104"/>
      <c r="T25" s="104">
        <f t="shared" si="3"/>
        <v>113903.62</v>
      </c>
      <c r="U25" s="104">
        <f t="shared" si="4"/>
        <v>112252.84</v>
      </c>
      <c r="V25" s="104">
        <f t="shared" si="7"/>
        <v>127266.76</v>
      </c>
      <c r="W25" s="104">
        <f t="shared" si="5"/>
        <v>125422.32</v>
      </c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54">
        <v>24.0</v>
      </c>
      <c r="N26" s="103">
        <v>45752.0</v>
      </c>
      <c r="O26" s="104">
        <f t="shared" ref="O26:R26" si="29">O25</f>
        <v>1844.44</v>
      </c>
      <c r="P26" s="104">
        <f t="shared" si="29"/>
        <v>1650.78</v>
      </c>
      <c r="Q26" s="104">
        <f t="shared" si="29"/>
        <v>184.44</v>
      </c>
      <c r="R26" s="104">
        <f t="shared" si="29"/>
        <v>9.22</v>
      </c>
      <c r="S26" s="104"/>
      <c r="T26" s="104">
        <f t="shared" si="3"/>
        <v>112252.84</v>
      </c>
      <c r="U26" s="104">
        <f t="shared" si="4"/>
        <v>110602.06</v>
      </c>
      <c r="V26" s="104">
        <f t="shared" si="7"/>
        <v>125422.32</v>
      </c>
      <c r="W26" s="104">
        <f t="shared" si="5"/>
        <v>123577.88</v>
      </c>
    </row>
    <row r="27">
      <c r="A27" s="7"/>
      <c r="B27" s="7"/>
      <c r="C27" s="112" t="s">
        <v>52</v>
      </c>
      <c r="D27" s="29" t="s">
        <v>64</v>
      </c>
      <c r="E27" s="7"/>
      <c r="F27" s="7"/>
      <c r="G27" s="7"/>
      <c r="H27" s="19"/>
      <c r="I27" s="7"/>
      <c r="J27" s="7"/>
      <c r="K27" s="7"/>
      <c r="L27" s="7"/>
      <c r="M27" s="54">
        <v>25.0</v>
      </c>
      <c r="N27" s="103">
        <v>45782.0</v>
      </c>
      <c r="O27" s="104">
        <f t="shared" ref="O27:R27" si="30">O26</f>
        <v>1844.44</v>
      </c>
      <c r="P27" s="104">
        <f t="shared" si="30"/>
        <v>1650.78</v>
      </c>
      <c r="Q27" s="104">
        <f t="shared" si="30"/>
        <v>184.44</v>
      </c>
      <c r="R27" s="104">
        <f t="shared" si="30"/>
        <v>9.22</v>
      </c>
      <c r="S27" s="104"/>
      <c r="T27" s="104">
        <f t="shared" si="3"/>
        <v>110602.06</v>
      </c>
      <c r="U27" s="104">
        <f t="shared" si="4"/>
        <v>108951.28</v>
      </c>
      <c r="V27" s="104">
        <f t="shared" si="7"/>
        <v>123577.88</v>
      </c>
      <c r="W27" s="104">
        <f t="shared" si="5"/>
        <v>121733.44</v>
      </c>
    </row>
    <row r="28">
      <c r="A28" s="7"/>
      <c r="B28" s="7"/>
      <c r="C28" s="31" t="s">
        <v>57</v>
      </c>
      <c r="D28" s="32" t="s">
        <v>65</v>
      </c>
      <c r="E28" s="33"/>
      <c r="F28" s="7"/>
      <c r="G28" s="7"/>
      <c r="H28" s="7"/>
      <c r="I28" s="7"/>
      <c r="J28" s="7"/>
      <c r="K28" s="7"/>
      <c r="L28" s="7"/>
      <c r="M28" s="54">
        <v>26.0</v>
      </c>
      <c r="N28" s="103">
        <v>45813.0</v>
      </c>
      <c r="O28" s="104">
        <f t="shared" ref="O28:R28" si="31">O27</f>
        <v>1844.44</v>
      </c>
      <c r="P28" s="104">
        <f t="shared" si="31"/>
        <v>1650.78</v>
      </c>
      <c r="Q28" s="104">
        <f t="shared" si="31"/>
        <v>184.44</v>
      </c>
      <c r="R28" s="104">
        <f t="shared" si="31"/>
        <v>9.22</v>
      </c>
      <c r="S28" s="104"/>
      <c r="T28" s="104">
        <f t="shared" si="3"/>
        <v>108951.28</v>
      </c>
      <c r="U28" s="104">
        <f t="shared" si="4"/>
        <v>107300.5</v>
      </c>
      <c r="V28" s="104">
        <f t="shared" si="7"/>
        <v>121733.44</v>
      </c>
      <c r="W28" s="104">
        <f t="shared" si="5"/>
        <v>119889</v>
      </c>
    </row>
    <row r="29">
      <c r="A29" s="9" t="s">
        <v>40</v>
      </c>
      <c r="B29" s="9" t="s">
        <v>1</v>
      </c>
      <c r="C29" s="9" t="s">
        <v>2</v>
      </c>
      <c r="D29" s="9" t="s">
        <v>3</v>
      </c>
      <c r="E29" s="20"/>
      <c r="F29" s="9" t="s">
        <v>5</v>
      </c>
      <c r="G29" s="9" t="s">
        <v>6</v>
      </c>
      <c r="H29" s="9" t="s">
        <v>7</v>
      </c>
      <c r="I29" s="10" t="s">
        <v>8</v>
      </c>
      <c r="J29" s="7"/>
      <c r="K29" s="7"/>
      <c r="L29" s="7"/>
      <c r="M29" s="54">
        <v>27.0</v>
      </c>
      <c r="N29" s="103">
        <v>45843.0</v>
      </c>
      <c r="O29" s="104">
        <f t="shared" ref="O29:R29" si="32">O28</f>
        <v>1844.44</v>
      </c>
      <c r="P29" s="104">
        <f t="shared" si="32"/>
        <v>1650.78</v>
      </c>
      <c r="Q29" s="104">
        <f t="shared" si="32"/>
        <v>184.44</v>
      </c>
      <c r="R29" s="104">
        <f t="shared" si="32"/>
        <v>9.22</v>
      </c>
      <c r="S29" s="104"/>
      <c r="T29" s="104">
        <f t="shared" si="3"/>
        <v>107300.5</v>
      </c>
      <c r="U29" s="104">
        <f t="shared" si="4"/>
        <v>105649.72</v>
      </c>
      <c r="V29" s="104">
        <f t="shared" si="7"/>
        <v>119889</v>
      </c>
      <c r="W29" s="104">
        <f t="shared" si="5"/>
        <v>118044.56</v>
      </c>
    </row>
    <row r="30">
      <c r="A30" s="12">
        <v>3.0</v>
      </c>
      <c r="B30" s="14" t="s">
        <v>52</v>
      </c>
      <c r="C30" s="14" t="s">
        <v>10</v>
      </c>
      <c r="D30" s="15" t="s">
        <v>79</v>
      </c>
      <c r="E30" s="14" t="s">
        <v>12</v>
      </c>
      <c r="F30" s="14" t="s">
        <v>13</v>
      </c>
      <c r="G30" s="15" t="s">
        <v>197</v>
      </c>
      <c r="H30" s="113">
        <v>149213.49</v>
      </c>
      <c r="I30" s="121">
        <v>100062.0</v>
      </c>
      <c r="J30" s="7"/>
      <c r="K30" s="7"/>
      <c r="L30" s="7"/>
      <c r="M30" s="54">
        <v>28.0</v>
      </c>
      <c r="N30" s="103">
        <v>45874.0</v>
      </c>
      <c r="O30" s="104">
        <f t="shared" ref="O30:R30" si="33">O29</f>
        <v>1844.44</v>
      </c>
      <c r="P30" s="104">
        <f t="shared" si="33"/>
        <v>1650.78</v>
      </c>
      <c r="Q30" s="104">
        <f t="shared" si="33"/>
        <v>184.44</v>
      </c>
      <c r="R30" s="104">
        <f t="shared" si="33"/>
        <v>9.22</v>
      </c>
      <c r="S30" s="104"/>
      <c r="T30" s="104">
        <f t="shared" si="3"/>
        <v>105649.72</v>
      </c>
      <c r="U30" s="104">
        <f t="shared" si="4"/>
        <v>103998.94</v>
      </c>
      <c r="V30" s="104">
        <f t="shared" si="7"/>
        <v>118044.56</v>
      </c>
      <c r="W30" s="104">
        <f t="shared" si="5"/>
        <v>116200.12</v>
      </c>
    </row>
    <row r="31">
      <c r="A31" s="12">
        <v>3.0</v>
      </c>
      <c r="B31" s="14" t="s">
        <v>52</v>
      </c>
      <c r="C31" s="14" t="s">
        <v>10</v>
      </c>
      <c r="D31" s="15" t="s">
        <v>198</v>
      </c>
      <c r="E31" s="15" t="s">
        <v>22</v>
      </c>
      <c r="F31" s="15" t="s">
        <v>19</v>
      </c>
      <c r="G31" s="15" t="s">
        <v>197</v>
      </c>
      <c r="H31" s="16">
        <f>H30</f>
        <v>149213.49</v>
      </c>
      <c r="I31" s="122">
        <v>200085.0</v>
      </c>
      <c r="J31" s="7"/>
      <c r="K31" s="7"/>
      <c r="L31" s="7"/>
      <c r="M31" s="54">
        <v>29.0</v>
      </c>
      <c r="N31" s="103">
        <v>45905.0</v>
      </c>
      <c r="O31" s="104">
        <f t="shared" ref="O31:R31" si="34">O30</f>
        <v>1844.44</v>
      </c>
      <c r="P31" s="104">
        <f t="shared" si="34"/>
        <v>1650.78</v>
      </c>
      <c r="Q31" s="104">
        <f t="shared" si="34"/>
        <v>184.44</v>
      </c>
      <c r="R31" s="104">
        <f t="shared" si="34"/>
        <v>9.22</v>
      </c>
      <c r="S31" s="104"/>
      <c r="T31" s="104">
        <f t="shared" si="3"/>
        <v>103998.94</v>
      </c>
      <c r="U31" s="104">
        <f t="shared" si="4"/>
        <v>102348.16</v>
      </c>
      <c r="V31" s="104">
        <f t="shared" si="7"/>
        <v>116200.12</v>
      </c>
      <c r="W31" s="104">
        <f t="shared" si="5"/>
        <v>114355.68</v>
      </c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54">
        <v>30.0</v>
      </c>
      <c r="N32" s="103">
        <v>45935.0</v>
      </c>
      <c r="O32" s="104">
        <f t="shared" ref="O32:R32" si="35">O31</f>
        <v>1844.44</v>
      </c>
      <c r="P32" s="104">
        <f t="shared" si="35"/>
        <v>1650.78</v>
      </c>
      <c r="Q32" s="104">
        <f t="shared" si="35"/>
        <v>184.44</v>
      </c>
      <c r="R32" s="104">
        <f t="shared" si="35"/>
        <v>9.22</v>
      </c>
      <c r="S32" s="104"/>
      <c r="T32" s="104">
        <f t="shared" si="3"/>
        <v>102348.16</v>
      </c>
      <c r="U32" s="104">
        <f t="shared" si="4"/>
        <v>100697.38</v>
      </c>
      <c r="V32" s="104">
        <f t="shared" si="7"/>
        <v>114355.68</v>
      </c>
      <c r="W32" s="104">
        <f t="shared" si="5"/>
        <v>112511.24</v>
      </c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54">
        <v>31.0</v>
      </c>
      <c r="N33" s="103">
        <v>45966.0</v>
      </c>
      <c r="O33" s="104">
        <f t="shared" ref="O33:R33" si="36">O32</f>
        <v>1844.44</v>
      </c>
      <c r="P33" s="104">
        <f t="shared" si="36"/>
        <v>1650.78</v>
      </c>
      <c r="Q33" s="104">
        <f t="shared" si="36"/>
        <v>184.44</v>
      </c>
      <c r="R33" s="104">
        <f t="shared" si="36"/>
        <v>9.22</v>
      </c>
      <c r="S33" s="104"/>
      <c r="T33" s="104">
        <f t="shared" si="3"/>
        <v>100697.38</v>
      </c>
      <c r="U33" s="104">
        <f t="shared" si="4"/>
        <v>99046.6</v>
      </c>
      <c r="V33" s="104">
        <f t="shared" si="7"/>
        <v>112511.24</v>
      </c>
      <c r="W33" s="104">
        <f t="shared" si="5"/>
        <v>110666.8</v>
      </c>
    </row>
    <row r="34">
      <c r="A34" s="7"/>
      <c r="B34" s="7"/>
      <c r="C34" s="112" t="s">
        <v>200</v>
      </c>
      <c r="D34" s="29" t="s">
        <v>64</v>
      </c>
      <c r="E34" s="7"/>
      <c r="F34" s="7"/>
      <c r="G34" s="7"/>
      <c r="H34" s="19"/>
      <c r="I34" s="7"/>
      <c r="J34" s="7"/>
      <c r="K34" s="7"/>
      <c r="L34" s="7"/>
      <c r="M34" s="54">
        <v>32.0</v>
      </c>
      <c r="N34" s="103">
        <v>45996.0</v>
      </c>
      <c r="O34" s="104">
        <f t="shared" ref="O34:R34" si="37">O33</f>
        <v>1844.44</v>
      </c>
      <c r="P34" s="104">
        <f t="shared" si="37"/>
        <v>1650.78</v>
      </c>
      <c r="Q34" s="104">
        <f t="shared" si="37"/>
        <v>184.44</v>
      </c>
      <c r="R34" s="104">
        <f t="shared" si="37"/>
        <v>9.22</v>
      </c>
      <c r="S34" s="104"/>
      <c r="T34" s="104">
        <f t="shared" si="3"/>
        <v>99046.6</v>
      </c>
      <c r="U34" s="104">
        <f t="shared" si="4"/>
        <v>97395.82</v>
      </c>
      <c r="V34" s="104">
        <f t="shared" si="7"/>
        <v>110666.8</v>
      </c>
      <c r="W34" s="104">
        <f t="shared" si="5"/>
        <v>108822.36</v>
      </c>
    </row>
    <row r="35">
      <c r="A35" s="7"/>
      <c r="B35" s="7"/>
      <c r="C35" s="31" t="s">
        <v>57</v>
      </c>
      <c r="D35" s="32" t="s">
        <v>65</v>
      </c>
      <c r="E35" s="33"/>
      <c r="F35" s="7"/>
      <c r="G35" s="7"/>
      <c r="H35" s="7"/>
      <c r="I35" s="7"/>
      <c r="J35" s="7"/>
      <c r="K35" s="7"/>
      <c r="L35" s="7"/>
      <c r="M35" s="54">
        <v>33.0</v>
      </c>
      <c r="N35" s="103" t="s">
        <v>201</v>
      </c>
      <c r="O35" s="104">
        <f t="shared" ref="O35:R35" si="38">O34</f>
        <v>1844.44</v>
      </c>
      <c r="P35" s="104">
        <f t="shared" si="38"/>
        <v>1650.78</v>
      </c>
      <c r="Q35" s="104">
        <f t="shared" si="38"/>
        <v>184.44</v>
      </c>
      <c r="R35" s="104">
        <f t="shared" si="38"/>
        <v>9.22</v>
      </c>
      <c r="S35" s="104"/>
      <c r="T35" s="104">
        <f t="shared" si="3"/>
        <v>97395.82</v>
      </c>
      <c r="U35" s="104">
        <f t="shared" si="4"/>
        <v>95745.04</v>
      </c>
      <c r="V35" s="104">
        <f t="shared" si="7"/>
        <v>108822.36</v>
      </c>
      <c r="W35" s="104">
        <f t="shared" si="5"/>
        <v>106977.92</v>
      </c>
    </row>
    <row r="36">
      <c r="A36" s="9" t="s">
        <v>40</v>
      </c>
      <c r="B36" s="9" t="s">
        <v>1</v>
      </c>
      <c r="C36" s="9" t="s">
        <v>2</v>
      </c>
      <c r="D36" s="9" t="s">
        <v>3</v>
      </c>
      <c r="E36" s="20"/>
      <c r="F36" s="9" t="s">
        <v>5</v>
      </c>
      <c r="G36" s="9" t="s">
        <v>6</v>
      </c>
      <c r="H36" s="9" t="s">
        <v>7</v>
      </c>
      <c r="I36" s="10" t="s">
        <v>8</v>
      </c>
      <c r="J36" s="7"/>
      <c r="K36" s="7"/>
      <c r="L36" s="7"/>
      <c r="M36" s="54">
        <v>34.0</v>
      </c>
      <c r="N36" s="103" t="s">
        <v>202</v>
      </c>
      <c r="O36" s="104">
        <f t="shared" ref="O36:R36" si="39">O35</f>
        <v>1844.44</v>
      </c>
      <c r="P36" s="104">
        <f t="shared" si="39"/>
        <v>1650.78</v>
      </c>
      <c r="Q36" s="104">
        <f t="shared" si="39"/>
        <v>184.44</v>
      </c>
      <c r="R36" s="104">
        <f t="shared" si="39"/>
        <v>9.22</v>
      </c>
      <c r="S36" s="104"/>
      <c r="T36" s="104">
        <f t="shared" si="3"/>
        <v>95745.04</v>
      </c>
      <c r="U36" s="104">
        <f t="shared" si="4"/>
        <v>94094.26</v>
      </c>
      <c r="V36" s="104">
        <f t="shared" si="7"/>
        <v>106977.92</v>
      </c>
      <c r="W36" s="104">
        <f t="shared" si="5"/>
        <v>105133.48</v>
      </c>
    </row>
    <row r="37">
      <c r="A37" s="12">
        <v>3.0</v>
      </c>
      <c r="B37" s="15" t="s">
        <v>200</v>
      </c>
      <c r="C37" s="14" t="s">
        <v>10</v>
      </c>
      <c r="D37" s="15" t="str">
        <f>D31</f>
        <v>Factor Rate / POS - Clearing</v>
      </c>
      <c r="E37" s="15" t="s">
        <v>22</v>
      </c>
      <c r="F37" s="15" t="s">
        <v>13</v>
      </c>
      <c r="G37" s="15" t="s">
        <v>83</v>
      </c>
      <c r="H37" s="113">
        <v>149213.49</v>
      </c>
      <c r="I37" s="122">
        <v>200085.0</v>
      </c>
      <c r="J37" s="7"/>
      <c r="K37" s="7"/>
      <c r="L37" s="7"/>
      <c r="M37" s="54">
        <v>35.0</v>
      </c>
      <c r="N37" s="103" t="s">
        <v>203</v>
      </c>
      <c r="O37" s="104">
        <f t="shared" ref="O37:R37" si="40">O36</f>
        <v>1844.44</v>
      </c>
      <c r="P37" s="104">
        <f t="shared" si="40"/>
        <v>1650.78</v>
      </c>
      <c r="Q37" s="104">
        <f t="shared" si="40"/>
        <v>184.44</v>
      </c>
      <c r="R37" s="104">
        <f t="shared" si="40"/>
        <v>9.22</v>
      </c>
      <c r="S37" s="104"/>
      <c r="T37" s="104">
        <f t="shared" si="3"/>
        <v>94094.26</v>
      </c>
      <c r="U37" s="104">
        <f t="shared" si="4"/>
        <v>92443.48</v>
      </c>
      <c r="V37" s="104">
        <f t="shared" si="7"/>
        <v>105133.48</v>
      </c>
      <c r="W37" s="104">
        <f t="shared" si="5"/>
        <v>103289.04</v>
      </c>
    </row>
    <row r="38">
      <c r="A38" s="12">
        <v>3.0</v>
      </c>
      <c r="B38" s="15" t="s">
        <v>200</v>
      </c>
      <c r="C38" s="14" t="s">
        <v>10</v>
      </c>
      <c r="D38" s="15" t="s">
        <v>79</v>
      </c>
      <c r="E38" s="14" t="s">
        <v>12</v>
      </c>
      <c r="F38" s="15" t="s">
        <v>19</v>
      </c>
      <c r="G38" s="15" t="s">
        <v>83</v>
      </c>
      <c r="H38" s="16">
        <f>H37</f>
        <v>149213.49</v>
      </c>
      <c r="I38" s="121">
        <v>100062.0</v>
      </c>
      <c r="J38" s="7"/>
      <c r="K38" s="7"/>
      <c r="L38" s="7"/>
      <c r="M38" s="54">
        <v>36.0</v>
      </c>
      <c r="N38" s="103" t="s">
        <v>204</v>
      </c>
      <c r="O38" s="104">
        <f t="shared" ref="O38:R38" si="41">O37</f>
        <v>1844.44</v>
      </c>
      <c r="P38" s="104">
        <f t="shared" si="41"/>
        <v>1650.78</v>
      </c>
      <c r="Q38" s="104">
        <f t="shared" si="41"/>
        <v>184.44</v>
      </c>
      <c r="R38" s="104">
        <f t="shared" si="41"/>
        <v>9.22</v>
      </c>
      <c r="S38" s="104"/>
      <c r="T38" s="104">
        <f t="shared" si="3"/>
        <v>92443.48</v>
      </c>
      <c r="U38" s="104">
        <f t="shared" si="4"/>
        <v>90792.7</v>
      </c>
      <c r="V38" s="104">
        <f t="shared" si="7"/>
        <v>103289.04</v>
      </c>
      <c r="W38" s="104">
        <f t="shared" si="5"/>
        <v>101444.6</v>
      </c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54">
        <v>37.0</v>
      </c>
      <c r="N39" s="103" t="s">
        <v>205</v>
      </c>
      <c r="O39" s="104">
        <f t="shared" ref="O39:R39" si="42">O38</f>
        <v>1844.44</v>
      </c>
      <c r="P39" s="104">
        <f t="shared" si="42"/>
        <v>1650.78</v>
      </c>
      <c r="Q39" s="104">
        <f t="shared" si="42"/>
        <v>184.44</v>
      </c>
      <c r="R39" s="104">
        <f t="shared" si="42"/>
        <v>9.22</v>
      </c>
      <c r="S39" s="104"/>
      <c r="T39" s="104">
        <f t="shared" si="3"/>
        <v>90792.7</v>
      </c>
      <c r="U39" s="104">
        <f t="shared" si="4"/>
        <v>89141.92</v>
      </c>
      <c r="V39" s="104">
        <f t="shared" si="7"/>
        <v>101444.6</v>
      </c>
      <c r="W39" s="104">
        <f t="shared" si="5"/>
        <v>99600.16</v>
      </c>
    </row>
    <row r="40">
      <c r="A40" s="43" t="s">
        <v>206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54">
        <v>38.0</v>
      </c>
      <c r="N40" s="103" t="s">
        <v>207</v>
      </c>
      <c r="O40" s="104">
        <f t="shared" ref="O40:R40" si="43">O39</f>
        <v>1844.44</v>
      </c>
      <c r="P40" s="104">
        <f t="shared" si="43"/>
        <v>1650.78</v>
      </c>
      <c r="Q40" s="104">
        <f t="shared" si="43"/>
        <v>184.44</v>
      </c>
      <c r="R40" s="104">
        <f t="shared" si="43"/>
        <v>9.22</v>
      </c>
      <c r="S40" s="104"/>
      <c r="T40" s="104">
        <f t="shared" si="3"/>
        <v>89141.92</v>
      </c>
      <c r="U40" s="104">
        <f t="shared" si="4"/>
        <v>87491.14</v>
      </c>
      <c r="V40" s="104">
        <f t="shared" si="7"/>
        <v>99600.16</v>
      </c>
      <c r="W40" s="104">
        <f t="shared" si="5"/>
        <v>97755.72</v>
      </c>
    </row>
    <row r="41">
      <c r="A41" s="7"/>
      <c r="B41" s="101" t="s">
        <v>57</v>
      </c>
      <c r="C41" s="102" t="s">
        <v>86</v>
      </c>
      <c r="E41" s="34" t="s">
        <v>187</v>
      </c>
      <c r="F41" s="7"/>
      <c r="G41" s="7"/>
      <c r="H41" s="7"/>
      <c r="I41" s="89"/>
      <c r="J41" s="7"/>
      <c r="K41" s="7"/>
      <c r="L41" s="7"/>
      <c r="M41" s="54">
        <v>39.0</v>
      </c>
      <c r="N41" s="103" t="s">
        <v>208</v>
      </c>
      <c r="O41" s="104">
        <f t="shared" ref="O41:R41" si="44">O40</f>
        <v>1844.44</v>
      </c>
      <c r="P41" s="104">
        <f t="shared" si="44"/>
        <v>1650.78</v>
      </c>
      <c r="Q41" s="104">
        <f t="shared" si="44"/>
        <v>184.44</v>
      </c>
      <c r="R41" s="104">
        <f t="shared" si="44"/>
        <v>9.22</v>
      </c>
      <c r="S41" s="104"/>
      <c r="T41" s="104">
        <f t="shared" si="3"/>
        <v>87491.14</v>
      </c>
      <c r="U41" s="104">
        <f t="shared" si="4"/>
        <v>85840.36</v>
      </c>
      <c r="V41" s="104">
        <f t="shared" si="7"/>
        <v>97755.72</v>
      </c>
      <c r="W41" s="104">
        <f t="shared" si="5"/>
        <v>95911.28</v>
      </c>
    </row>
    <row r="42">
      <c r="A42" s="92" t="s">
        <v>0</v>
      </c>
      <c r="B42" s="92" t="s">
        <v>1</v>
      </c>
      <c r="C42" s="92" t="s">
        <v>2</v>
      </c>
      <c r="D42" s="92" t="s">
        <v>3</v>
      </c>
      <c r="E42" s="92" t="s">
        <v>4</v>
      </c>
      <c r="F42" s="92" t="s">
        <v>5</v>
      </c>
      <c r="G42" s="92" t="s">
        <v>6</v>
      </c>
      <c r="H42" s="92" t="s">
        <v>7</v>
      </c>
      <c r="I42" s="9" t="s">
        <v>8</v>
      </c>
      <c r="J42" s="7"/>
      <c r="K42" s="7"/>
      <c r="L42" s="7"/>
      <c r="M42" s="54">
        <v>40.0</v>
      </c>
      <c r="N42" s="103" t="s">
        <v>209</v>
      </c>
      <c r="O42" s="104">
        <f t="shared" ref="O42:R42" si="45">O41</f>
        <v>1844.44</v>
      </c>
      <c r="P42" s="104">
        <f t="shared" si="45"/>
        <v>1650.78</v>
      </c>
      <c r="Q42" s="104">
        <f t="shared" si="45"/>
        <v>184.44</v>
      </c>
      <c r="R42" s="104">
        <f t="shared" si="45"/>
        <v>9.22</v>
      </c>
      <c r="S42" s="104"/>
      <c r="T42" s="104">
        <f t="shared" si="3"/>
        <v>85840.36</v>
      </c>
      <c r="U42" s="104">
        <f t="shared" si="4"/>
        <v>84189.58</v>
      </c>
      <c r="V42" s="104">
        <f t="shared" si="7"/>
        <v>95911.28</v>
      </c>
      <c r="W42" s="104">
        <f t="shared" si="5"/>
        <v>94066.84</v>
      </c>
    </row>
    <row r="43">
      <c r="A43" s="106">
        <v>4.0</v>
      </c>
      <c r="B43" s="106" t="s">
        <v>52</v>
      </c>
      <c r="C43" s="106" t="s">
        <v>10</v>
      </c>
      <c r="D43" s="107" t="str">
        <f t="shared" ref="D43:E43" si="46">D37</f>
        <v>Factor Rate / POS - Clearing</v>
      </c>
      <c r="E43" s="107" t="str">
        <f t="shared" si="46"/>
        <v>Current Liability</v>
      </c>
      <c r="F43" s="106" t="s">
        <v>13</v>
      </c>
      <c r="G43" s="107" t="s">
        <v>90</v>
      </c>
      <c r="H43" s="108">
        <f>O4</f>
        <v>1844.44</v>
      </c>
      <c r="I43" s="123">
        <f>I37</f>
        <v>200085</v>
      </c>
      <c r="J43" s="7"/>
      <c r="K43" s="7"/>
      <c r="L43" s="7"/>
      <c r="M43" s="54">
        <v>41.0</v>
      </c>
      <c r="N43" s="103" t="s">
        <v>211</v>
      </c>
      <c r="O43" s="104">
        <f t="shared" ref="O43:R43" si="47">O42</f>
        <v>1844.44</v>
      </c>
      <c r="P43" s="104">
        <f t="shared" si="47"/>
        <v>1650.78</v>
      </c>
      <c r="Q43" s="104">
        <f t="shared" si="47"/>
        <v>184.44</v>
      </c>
      <c r="R43" s="104">
        <f t="shared" si="47"/>
        <v>9.22</v>
      </c>
      <c r="S43" s="104"/>
      <c r="T43" s="104">
        <f t="shared" si="3"/>
        <v>84189.58</v>
      </c>
      <c r="U43" s="104">
        <f t="shared" si="4"/>
        <v>82538.8</v>
      </c>
      <c r="V43" s="104">
        <f t="shared" si="7"/>
        <v>94066.84</v>
      </c>
      <c r="W43" s="104">
        <f t="shared" si="5"/>
        <v>92222.4</v>
      </c>
    </row>
    <row r="44">
      <c r="A44" s="106">
        <v>4.0</v>
      </c>
      <c r="B44" s="106" t="s">
        <v>52</v>
      </c>
      <c r="C44" s="106" t="s">
        <v>10</v>
      </c>
      <c r="D44" s="107" t="s">
        <v>169</v>
      </c>
      <c r="E44" s="107" t="s">
        <v>12</v>
      </c>
      <c r="F44" s="106" t="s">
        <v>19</v>
      </c>
      <c r="G44" s="114" t="s">
        <v>12</v>
      </c>
      <c r="H44" s="108">
        <f>P4</f>
        <v>1650.78</v>
      </c>
      <c r="I44" s="117">
        <v>100053.0</v>
      </c>
      <c r="J44" s="7"/>
      <c r="K44" s="7"/>
      <c r="L44" s="7"/>
      <c r="M44" s="54">
        <v>42.0</v>
      </c>
      <c r="N44" s="103" t="s">
        <v>212</v>
      </c>
      <c r="O44" s="104">
        <f t="shared" ref="O44:R44" si="48">O43</f>
        <v>1844.44</v>
      </c>
      <c r="P44" s="104">
        <f t="shared" si="48"/>
        <v>1650.78</v>
      </c>
      <c r="Q44" s="104">
        <f t="shared" si="48"/>
        <v>184.44</v>
      </c>
      <c r="R44" s="104">
        <f t="shared" si="48"/>
        <v>9.22</v>
      </c>
      <c r="S44" s="104"/>
      <c r="T44" s="104">
        <f t="shared" si="3"/>
        <v>82538.8</v>
      </c>
      <c r="U44" s="104">
        <f t="shared" si="4"/>
        <v>80888.02</v>
      </c>
      <c r="V44" s="104">
        <f t="shared" si="7"/>
        <v>92222.4</v>
      </c>
      <c r="W44" s="104">
        <f t="shared" si="5"/>
        <v>90377.96</v>
      </c>
    </row>
    <row r="45">
      <c r="A45" s="110"/>
      <c r="B45" s="106" t="s">
        <v>52</v>
      </c>
      <c r="C45" s="106" t="s">
        <v>10</v>
      </c>
      <c r="D45" s="107" t="s">
        <v>36</v>
      </c>
      <c r="E45" s="106" t="s">
        <v>22</v>
      </c>
      <c r="F45" s="106" t="s">
        <v>19</v>
      </c>
      <c r="G45" s="107" t="s">
        <v>175</v>
      </c>
      <c r="H45" s="108">
        <f>R10</f>
        <v>9.22</v>
      </c>
      <c r="I45" s="117">
        <v>200065.0</v>
      </c>
      <c r="J45" s="7"/>
      <c r="K45" s="7"/>
      <c r="L45" s="7"/>
      <c r="M45" s="54">
        <v>43.0</v>
      </c>
      <c r="N45" s="103" t="s">
        <v>213</v>
      </c>
      <c r="O45" s="104">
        <f t="shared" ref="O45:R45" si="49">O44</f>
        <v>1844.44</v>
      </c>
      <c r="P45" s="104">
        <f t="shared" si="49"/>
        <v>1650.78</v>
      </c>
      <c r="Q45" s="104">
        <f t="shared" si="49"/>
        <v>184.44</v>
      </c>
      <c r="R45" s="104">
        <f t="shared" si="49"/>
        <v>9.22</v>
      </c>
      <c r="S45" s="104"/>
      <c r="T45" s="104">
        <f t="shared" si="3"/>
        <v>80888.02</v>
      </c>
      <c r="U45" s="104">
        <f t="shared" si="4"/>
        <v>79237.24</v>
      </c>
      <c r="V45" s="104">
        <f t="shared" si="7"/>
        <v>90377.96</v>
      </c>
      <c r="W45" s="104">
        <f t="shared" si="5"/>
        <v>88533.52</v>
      </c>
    </row>
    <row r="46">
      <c r="A46" s="106">
        <v>4.0</v>
      </c>
      <c r="B46" s="106" t="s">
        <v>52</v>
      </c>
      <c r="C46" s="106" t="s">
        <v>10</v>
      </c>
      <c r="D46" s="107" t="s">
        <v>172</v>
      </c>
      <c r="E46" s="107" t="s">
        <v>12</v>
      </c>
      <c r="F46" s="106" t="s">
        <v>19</v>
      </c>
      <c r="G46" s="107" t="s">
        <v>28</v>
      </c>
      <c r="H46" s="108">
        <f>H25</f>
        <v>184.44</v>
      </c>
      <c r="I46" s="119">
        <v>100064.0</v>
      </c>
      <c r="J46" s="11" t="s">
        <v>260</v>
      </c>
      <c r="K46" s="7"/>
      <c r="L46" s="7"/>
      <c r="M46" s="54">
        <v>44.0</v>
      </c>
      <c r="N46" s="103" t="s">
        <v>214</v>
      </c>
      <c r="O46" s="104">
        <f t="shared" ref="O46:R46" si="50">O45</f>
        <v>1844.44</v>
      </c>
      <c r="P46" s="104">
        <f t="shared" si="50"/>
        <v>1650.78</v>
      </c>
      <c r="Q46" s="104">
        <f t="shared" si="50"/>
        <v>184.44</v>
      </c>
      <c r="R46" s="104">
        <f t="shared" si="50"/>
        <v>9.22</v>
      </c>
      <c r="S46" s="104"/>
      <c r="T46" s="104">
        <f t="shared" si="3"/>
        <v>79237.24</v>
      </c>
      <c r="U46" s="104">
        <f t="shared" si="4"/>
        <v>77586.46</v>
      </c>
      <c r="V46" s="104">
        <f t="shared" si="7"/>
        <v>88533.52</v>
      </c>
      <c r="W46" s="104">
        <f t="shared" si="5"/>
        <v>86689.08</v>
      </c>
    </row>
    <row r="47">
      <c r="A47" s="94" t="s">
        <v>215</v>
      </c>
      <c r="B47" s="43" t="s">
        <v>216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54">
        <v>45.0</v>
      </c>
      <c r="N47" s="103" t="s">
        <v>217</v>
      </c>
      <c r="O47" s="104">
        <f t="shared" ref="O47:R47" si="51">O46</f>
        <v>1844.44</v>
      </c>
      <c r="P47" s="104">
        <f t="shared" si="51"/>
        <v>1650.78</v>
      </c>
      <c r="Q47" s="104">
        <f t="shared" si="51"/>
        <v>184.44</v>
      </c>
      <c r="R47" s="104">
        <f t="shared" si="51"/>
        <v>9.22</v>
      </c>
      <c r="S47" s="104"/>
      <c r="T47" s="104">
        <f t="shared" si="3"/>
        <v>77586.46</v>
      </c>
      <c r="U47" s="104">
        <f t="shared" si="4"/>
        <v>75935.68</v>
      </c>
      <c r="V47" s="104">
        <f t="shared" si="7"/>
        <v>86689.08</v>
      </c>
      <c r="W47" s="104">
        <f t="shared" si="5"/>
        <v>84844.64</v>
      </c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54">
        <v>46.0</v>
      </c>
      <c r="N48" s="103" t="s">
        <v>218</v>
      </c>
      <c r="O48" s="104">
        <f t="shared" ref="O48:R48" si="52">O47</f>
        <v>1844.44</v>
      </c>
      <c r="P48" s="104">
        <f t="shared" si="52"/>
        <v>1650.78</v>
      </c>
      <c r="Q48" s="104">
        <f t="shared" si="52"/>
        <v>184.44</v>
      </c>
      <c r="R48" s="104">
        <f t="shared" si="52"/>
        <v>9.22</v>
      </c>
      <c r="S48" s="104"/>
      <c r="T48" s="104">
        <f t="shared" si="3"/>
        <v>75935.68</v>
      </c>
      <c r="U48" s="104">
        <f t="shared" si="4"/>
        <v>74284.9</v>
      </c>
      <c r="V48" s="104">
        <f t="shared" si="7"/>
        <v>84844.64</v>
      </c>
      <c r="W48" s="104">
        <f t="shared" si="5"/>
        <v>83000.2</v>
      </c>
    </row>
    <row r="49">
      <c r="A49" s="8" t="s">
        <v>219</v>
      </c>
      <c r="B49" s="7" t="s">
        <v>220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54">
        <v>47.0</v>
      </c>
      <c r="N49" s="103" t="s">
        <v>221</v>
      </c>
      <c r="O49" s="104">
        <f t="shared" ref="O49:R49" si="53">O48</f>
        <v>1844.44</v>
      </c>
      <c r="P49" s="104">
        <f t="shared" si="53"/>
        <v>1650.78</v>
      </c>
      <c r="Q49" s="104">
        <f t="shared" si="53"/>
        <v>184.44</v>
      </c>
      <c r="R49" s="104">
        <f t="shared" si="53"/>
        <v>9.22</v>
      </c>
      <c r="S49" s="104"/>
      <c r="T49" s="104">
        <f t="shared" si="3"/>
        <v>74284.9</v>
      </c>
      <c r="U49" s="104">
        <f t="shared" si="4"/>
        <v>72634.12</v>
      </c>
      <c r="V49" s="104">
        <f t="shared" si="7"/>
        <v>83000.2</v>
      </c>
      <c r="W49" s="104">
        <f t="shared" si="5"/>
        <v>81155.76</v>
      </c>
    </row>
    <row r="50">
      <c r="A50" s="7"/>
      <c r="B50" s="101" t="s">
        <v>57</v>
      </c>
      <c r="C50" s="102" t="s">
        <v>86</v>
      </c>
      <c r="E50" s="34" t="s">
        <v>187</v>
      </c>
      <c r="F50" s="7"/>
      <c r="G50" s="7"/>
      <c r="H50" s="7"/>
      <c r="I50" s="89"/>
      <c r="J50" s="7"/>
      <c r="K50" s="7"/>
      <c r="L50" s="7"/>
      <c r="M50" s="54">
        <v>48.0</v>
      </c>
      <c r="N50" s="103" t="s">
        <v>222</v>
      </c>
      <c r="O50" s="104">
        <f t="shared" ref="O50:R50" si="54">O49</f>
        <v>1844.44</v>
      </c>
      <c r="P50" s="104">
        <f t="shared" si="54"/>
        <v>1650.78</v>
      </c>
      <c r="Q50" s="104">
        <f t="shared" si="54"/>
        <v>184.44</v>
      </c>
      <c r="R50" s="104">
        <f t="shared" si="54"/>
        <v>9.22</v>
      </c>
      <c r="S50" s="104"/>
      <c r="T50" s="104">
        <f t="shared" si="3"/>
        <v>72634.12</v>
      </c>
      <c r="U50" s="104">
        <f t="shared" si="4"/>
        <v>70983.34</v>
      </c>
      <c r="V50" s="104">
        <f t="shared" si="7"/>
        <v>81155.76</v>
      </c>
      <c r="W50" s="104">
        <f t="shared" si="5"/>
        <v>79311.32</v>
      </c>
    </row>
    <row r="51">
      <c r="A51" s="92" t="s">
        <v>0</v>
      </c>
      <c r="B51" s="92" t="s">
        <v>1</v>
      </c>
      <c r="C51" s="92" t="s">
        <v>2</v>
      </c>
      <c r="D51" s="92" t="s">
        <v>3</v>
      </c>
      <c r="E51" s="92" t="s">
        <v>4</v>
      </c>
      <c r="F51" s="92" t="s">
        <v>5</v>
      </c>
      <c r="G51" s="92" t="s">
        <v>6</v>
      </c>
      <c r="H51" s="92" t="s">
        <v>7</v>
      </c>
      <c r="I51" s="9" t="s">
        <v>8</v>
      </c>
      <c r="J51" s="7"/>
      <c r="K51" s="7"/>
      <c r="L51" s="7"/>
      <c r="M51" s="54">
        <v>49.0</v>
      </c>
      <c r="N51" s="103" t="s">
        <v>223</v>
      </c>
      <c r="O51" s="104">
        <f t="shared" ref="O51:R51" si="55">O50</f>
        <v>1844.44</v>
      </c>
      <c r="P51" s="104">
        <f t="shared" si="55"/>
        <v>1650.78</v>
      </c>
      <c r="Q51" s="104">
        <f t="shared" si="55"/>
        <v>184.44</v>
      </c>
      <c r="R51" s="104">
        <f t="shared" si="55"/>
        <v>9.22</v>
      </c>
      <c r="S51" s="104"/>
      <c r="T51" s="104">
        <f t="shared" si="3"/>
        <v>70983.34</v>
      </c>
      <c r="U51" s="104">
        <f t="shared" si="4"/>
        <v>69332.56</v>
      </c>
      <c r="V51" s="104">
        <f t="shared" si="7"/>
        <v>79311.32</v>
      </c>
      <c r="W51" s="104">
        <f t="shared" si="5"/>
        <v>77466.88</v>
      </c>
    </row>
    <row r="52">
      <c r="A52" s="106">
        <v>4.0</v>
      </c>
      <c r="B52" s="106" t="s">
        <v>52</v>
      </c>
      <c r="C52" s="106" t="s">
        <v>10</v>
      </c>
      <c r="D52" s="107" t="str">
        <f t="shared" ref="D52:E52" si="56">D43</f>
        <v>Factor Rate / POS - Clearing</v>
      </c>
      <c r="E52" s="107" t="str">
        <f t="shared" si="56"/>
        <v>Current Liability</v>
      </c>
      <c r="F52" s="106" t="s">
        <v>13</v>
      </c>
      <c r="G52" s="107" t="s">
        <v>90</v>
      </c>
      <c r="H52" s="108">
        <f>H53+H55+H56+H54</f>
        <v>3208.823562</v>
      </c>
      <c r="I52" s="123">
        <f>I43</f>
        <v>200085</v>
      </c>
      <c r="J52" s="7"/>
      <c r="K52" s="7"/>
      <c r="L52" s="7"/>
      <c r="M52" s="54">
        <v>50.0</v>
      </c>
      <c r="N52" s="103" t="s">
        <v>132</v>
      </c>
      <c r="O52" s="104">
        <f t="shared" ref="O52:R52" si="57">O51</f>
        <v>1844.44</v>
      </c>
      <c r="P52" s="104">
        <f t="shared" si="57"/>
        <v>1650.78</v>
      </c>
      <c r="Q52" s="104">
        <f t="shared" si="57"/>
        <v>184.44</v>
      </c>
      <c r="R52" s="104">
        <f t="shared" si="57"/>
        <v>9.22</v>
      </c>
      <c r="S52" s="104"/>
      <c r="T52" s="104">
        <f t="shared" si="3"/>
        <v>69332.56</v>
      </c>
      <c r="U52" s="104">
        <f t="shared" si="4"/>
        <v>67681.78</v>
      </c>
      <c r="V52" s="104">
        <f t="shared" si="7"/>
        <v>77466.88</v>
      </c>
      <c r="W52" s="104">
        <f t="shared" si="5"/>
        <v>75622.44</v>
      </c>
    </row>
    <row r="53">
      <c r="A53" s="106">
        <v>4.0</v>
      </c>
      <c r="B53" s="106" t="s">
        <v>52</v>
      </c>
      <c r="C53" s="106" t="s">
        <v>10</v>
      </c>
      <c r="D53" s="107" t="s">
        <v>169</v>
      </c>
      <c r="E53" s="107" t="s">
        <v>12</v>
      </c>
      <c r="F53" s="106" t="s">
        <v>19</v>
      </c>
      <c r="G53" s="114" t="s">
        <v>12</v>
      </c>
      <c r="H53" s="108">
        <f>P12</f>
        <v>1650.78</v>
      </c>
      <c r="I53" s="117">
        <v>100053.0</v>
      </c>
      <c r="J53" s="7"/>
      <c r="K53" s="7"/>
      <c r="L53" s="7"/>
      <c r="M53" s="54">
        <v>51.0</v>
      </c>
      <c r="N53" s="103" t="s">
        <v>139</v>
      </c>
      <c r="O53" s="104">
        <f t="shared" ref="O53:R53" si="58">O52</f>
        <v>1844.44</v>
      </c>
      <c r="P53" s="104">
        <f t="shared" si="58"/>
        <v>1650.78</v>
      </c>
      <c r="Q53" s="104">
        <f t="shared" si="58"/>
        <v>184.44</v>
      </c>
      <c r="R53" s="104">
        <f t="shared" si="58"/>
        <v>9.22</v>
      </c>
      <c r="S53" s="104"/>
      <c r="T53" s="104">
        <f t="shared" si="3"/>
        <v>67681.78</v>
      </c>
      <c r="U53" s="104">
        <f t="shared" si="4"/>
        <v>66031</v>
      </c>
      <c r="V53" s="104">
        <f t="shared" si="7"/>
        <v>75622.44</v>
      </c>
      <c r="W53" s="104">
        <f t="shared" si="5"/>
        <v>73778</v>
      </c>
    </row>
    <row r="54">
      <c r="A54" s="110"/>
      <c r="B54" s="106" t="s">
        <v>52</v>
      </c>
      <c r="C54" s="106" t="s">
        <v>10</v>
      </c>
      <c r="D54" s="107" t="s">
        <v>36</v>
      </c>
      <c r="E54" s="106" t="s">
        <v>22</v>
      </c>
      <c r="F54" s="106" t="s">
        <v>19</v>
      </c>
      <c r="G54" s="107" t="s">
        <v>175</v>
      </c>
      <c r="H54" s="108">
        <f>R19</f>
        <v>9.22</v>
      </c>
      <c r="I54" s="117">
        <v>200065.0</v>
      </c>
      <c r="J54" s="7"/>
      <c r="K54" s="7"/>
      <c r="L54" s="7"/>
      <c r="M54" s="54">
        <v>52.0</v>
      </c>
      <c r="N54" s="103">
        <v>45663.0</v>
      </c>
      <c r="O54" s="104">
        <f t="shared" ref="O54:R54" si="59">O53</f>
        <v>1844.44</v>
      </c>
      <c r="P54" s="104">
        <f t="shared" si="59"/>
        <v>1650.78</v>
      </c>
      <c r="Q54" s="104">
        <f t="shared" si="59"/>
        <v>184.44</v>
      </c>
      <c r="R54" s="104">
        <f t="shared" si="59"/>
        <v>9.22</v>
      </c>
      <c r="S54" s="104"/>
      <c r="T54" s="104">
        <f t="shared" si="3"/>
        <v>66031</v>
      </c>
      <c r="U54" s="104">
        <f t="shared" si="4"/>
        <v>64380.22</v>
      </c>
      <c r="V54" s="104">
        <f t="shared" si="7"/>
        <v>73778</v>
      </c>
      <c r="W54" s="104">
        <f t="shared" si="5"/>
        <v>71933.56</v>
      </c>
    </row>
    <row r="55">
      <c r="A55" s="106">
        <v>4.0</v>
      </c>
      <c r="B55" s="106" t="s">
        <v>52</v>
      </c>
      <c r="C55" s="106" t="s">
        <v>10</v>
      </c>
      <c r="D55" s="107" t="s">
        <v>172</v>
      </c>
      <c r="E55" s="107" t="s">
        <v>12</v>
      </c>
      <c r="F55" s="106" t="s">
        <v>19</v>
      </c>
      <c r="G55" s="107" t="s">
        <v>28</v>
      </c>
      <c r="H55" s="108">
        <f>H46</f>
        <v>184.44</v>
      </c>
      <c r="I55" s="119">
        <v>100064.0</v>
      </c>
      <c r="J55" s="7"/>
      <c r="K55" s="7"/>
      <c r="L55" s="7"/>
      <c r="M55" s="54">
        <v>53.0</v>
      </c>
      <c r="N55" s="103">
        <v>45694.0</v>
      </c>
      <c r="O55" s="104">
        <f t="shared" ref="O55:R55" si="60">O54</f>
        <v>1844.44</v>
      </c>
      <c r="P55" s="104">
        <f t="shared" si="60"/>
        <v>1650.78</v>
      </c>
      <c r="Q55" s="104">
        <f t="shared" si="60"/>
        <v>184.44</v>
      </c>
      <c r="R55" s="104">
        <f t="shared" si="60"/>
        <v>9.22</v>
      </c>
      <c r="S55" s="104"/>
      <c r="T55" s="104">
        <f t="shared" si="3"/>
        <v>64380.22</v>
      </c>
      <c r="U55" s="104">
        <f t="shared" si="4"/>
        <v>62729.44</v>
      </c>
      <c r="V55" s="104">
        <f t="shared" si="7"/>
        <v>71933.56</v>
      </c>
      <c r="W55" s="104">
        <f t="shared" si="5"/>
        <v>70089.12</v>
      </c>
    </row>
    <row r="56">
      <c r="A56" s="106">
        <v>4.0</v>
      </c>
      <c r="B56" s="106" t="s">
        <v>52</v>
      </c>
      <c r="C56" s="106" t="s">
        <v>10</v>
      </c>
      <c r="D56" s="107" t="s">
        <v>195</v>
      </c>
      <c r="E56" s="106" t="s">
        <v>18</v>
      </c>
      <c r="F56" s="106" t="s">
        <v>19</v>
      </c>
      <c r="G56" s="107" t="s">
        <v>196</v>
      </c>
      <c r="H56" s="108">
        <f>V4*5%*12/365*5</f>
        <v>1364.383562</v>
      </c>
      <c r="I56" s="117">
        <v>300012.0</v>
      </c>
      <c r="J56" s="7"/>
      <c r="K56" s="7"/>
      <c r="L56" s="7"/>
      <c r="M56" s="54">
        <v>54.0</v>
      </c>
      <c r="N56" s="103">
        <v>45722.0</v>
      </c>
      <c r="O56" s="104">
        <f t="shared" ref="O56:R56" si="61">O55</f>
        <v>1844.44</v>
      </c>
      <c r="P56" s="104">
        <f t="shared" si="61"/>
        <v>1650.78</v>
      </c>
      <c r="Q56" s="104">
        <f t="shared" si="61"/>
        <v>184.44</v>
      </c>
      <c r="R56" s="104">
        <f t="shared" si="61"/>
        <v>9.22</v>
      </c>
      <c r="S56" s="104"/>
      <c r="T56" s="104">
        <f t="shared" si="3"/>
        <v>62729.44</v>
      </c>
      <c r="U56" s="104">
        <f t="shared" si="4"/>
        <v>61078.66</v>
      </c>
      <c r="V56" s="104">
        <f t="shared" si="7"/>
        <v>70089.12</v>
      </c>
      <c r="W56" s="104">
        <f t="shared" si="5"/>
        <v>68244.68</v>
      </c>
    </row>
    <row r="57">
      <c r="A57" s="94" t="s">
        <v>215</v>
      </c>
      <c r="B57" s="43" t="s">
        <v>224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54">
        <v>55.0</v>
      </c>
      <c r="N57" s="103">
        <v>45753.0</v>
      </c>
      <c r="O57" s="104">
        <f t="shared" ref="O57:R57" si="62">O56</f>
        <v>1844.44</v>
      </c>
      <c r="P57" s="104">
        <f t="shared" si="62"/>
        <v>1650.78</v>
      </c>
      <c r="Q57" s="104">
        <f t="shared" si="62"/>
        <v>184.44</v>
      </c>
      <c r="R57" s="104">
        <f t="shared" si="62"/>
        <v>9.22</v>
      </c>
      <c r="S57" s="104"/>
      <c r="T57" s="104">
        <f t="shared" si="3"/>
        <v>61078.66</v>
      </c>
      <c r="U57" s="104">
        <f t="shared" si="4"/>
        <v>59427.88</v>
      </c>
      <c r="V57" s="104">
        <f t="shared" si="7"/>
        <v>68244.68</v>
      </c>
      <c r="W57" s="104">
        <f t="shared" si="5"/>
        <v>66400.24</v>
      </c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54">
        <v>56.0</v>
      </c>
      <c r="N58" s="103">
        <v>45783.0</v>
      </c>
      <c r="O58" s="104">
        <f t="shared" ref="O58:R58" si="63">O57</f>
        <v>1844.44</v>
      </c>
      <c r="P58" s="104">
        <f t="shared" si="63"/>
        <v>1650.78</v>
      </c>
      <c r="Q58" s="104">
        <f t="shared" si="63"/>
        <v>184.44</v>
      </c>
      <c r="R58" s="104">
        <f t="shared" si="63"/>
        <v>9.22</v>
      </c>
      <c r="S58" s="104"/>
      <c r="T58" s="104">
        <f t="shared" si="3"/>
        <v>59427.88</v>
      </c>
      <c r="U58" s="104">
        <f t="shared" si="4"/>
        <v>57777.1</v>
      </c>
      <c r="V58" s="104">
        <f t="shared" si="7"/>
        <v>66400.24</v>
      </c>
      <c r="W58" s="104">
        <f t="shared" si="5"/>
        <v>64555.8</v>
      </c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54">
        <v>57.0</v>
      </c>
      <c r="N59" s="103">
        <v>45814.0</v>
      </c>
      <c r="O59" s="104">
        <f t="shared" ref="O59:R59" si="64">O58</f>
        <v>1844.44</v>
      </c>
      <c r="P59" s="104">
        <f t="shared" si="64"/>
        <v>1650.78</v>
      </c>
      <c r="Q59" s="104">
        <f t="shared" si="64"/>
        <v>184.44</v>
      </c>
      <c r="R59" s="104">
        <f t="shared" si="64"/>
        <v>9.22</v>
      </c>
      <c r="S59" s="104"/>
      <c r="T59" s="104">
        <f t="shared" si="3"/>
        <v>57777.1</v>
      </c>
      <c r="U59" s="104">
        <f t="shared" si="4"/>
        <v>56126.32</v>
      </c>
      <c r="V59" s="104">
        <f t="shared" si="7"/>
        <v>64555.8</v>
      </c>
      <c r="W59" s="104">
        <f t="shared" si="5"/>
        <v>62711.36</v>
      </c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54">
        <v>58.0</v>
      </c>
      <c r="N60" s="103">
        <v>45844.0</v>
      </c>
      <c r="O60" s="104">
        <f t="shared" ref="O60:R60" si="65">O59</f>
        <v>1844.44</v>
      </c>
      <c r="P60" s="104">
        <f t="shared" si="65"/>
        <v>1650.78</v>
      </c>
      <c r="Q60" s="104">
        <f t="shared" si="65"/>
        <v>184.44</v>
      </c>
      <c r="R60" s="104">
        <f t="shared" si="65"/>
        <v>9.22</v>
      </c>
      <c r="S60" s="104"/>
      <c r="T60" s="104">
        <f t="shared" si="3"/>
        <v>56126.32</v>
      </c>
      <c r="U60" s="104">
        <f t="shared" si="4"/>
        <v>54475.54</v>
      </c>
      <c r="V60" s="104">
        <f t="shared" si="7"/>
        <v>62711.36</v>
      </c>
      <c r="W60" s="104">
        <f t="shared" si="5"/>
        <v>60866.92</v>
      </c>
    </row>
    <row r="61">
      <c r="A61" s="8" t="s">
        <v>225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54">
        <v>59.0</v>
      </c>
      <c r="N61" s="103">
        <v>45875.0</v>
      </c>
      <c r="O61" s="104">
        <f t="shared" ref="O61:R61" si="66">O60</f>
        <v>1844.44</v>
      </c>
      <c r="P61" s="104">
        <f t="shared" si="66"/>
        <v>1650.78</v>
      </c>
      <c r="Q61" s="104">
        <f t="shared" si="66"/>
        <v>184.44</v>
      </c>
      <c r="R61" s="104">
        <f t="shared" si="66"/>
        <v>9.22</v>
      </c>
      <c r="S61" s="104"/>
      <c r="T61" s="104">
        <f t="shared" si="3"/>
        <v>54475.54</v>
      </c>
      <c r="U61" s="104">
        <f t="shared" si="4"/>
        <v>52824.76</v>
      </c>
      <c r="V61" s="104">
        <f t="shared" si="7"/>
        <v>60866.92</v>
      </c>
      <c r="W61" s="104">
        <f t="shared" si="5"/>
        <v>59022.48</v>
      </c>
    </row>
    <row r="62">
      <c r="A62" s="7"/>
      <c r="B62" s="101" t="s">
        <v>57</v>
      </c>
      <c r="C62" s="102" t="s">
        <v>86</v>
      </c>
      <c r="E62" s="34" t="s">
        <v>187</v>
      </c>
      <c r="F62" s="7"/>
      <c r="G62" s="7"/>
      <c r="H62" s="7"/>
      <c r="I62" s="89"/>
      <c r="J62" s="7"/>
      <c r="K62" s="7"/>
      <c r="L62" s="7"/>
      <c r="M62" s="54">
        <v>60.0</v>
      </c>
      <c r="N62" s="103">
        <v>45906.0</v>
      </c>
      <c r="O62" s="104">
        <f t="shared" ref="O62:R62" si="67">O61</f>
        <v>1844.44</v>
      </c>
      <c r="P62" s="104">
        <f t="shared" si="67"/>
        <v>1650.78</v>
      </c>
      <c r="Q62" s="104">
        <f t="shared" si="67"/>
        <v>184.44</v>
      </c>
      <c r="R62" s="104">
        <f t="shared" si="67"/>
        <v>9.22</v>
      </c>
      <c r="S62" s="104"/>
      <c r="T62" s="104">
        <f t="shared" si="3"/>
        <v>52824.76</v>
      </c>
      <c r="U62" s="104">
        <f t="shared" si="4"/>
        <v>51173.98</v>
      </c>
      <c r="V62" s="104">
        <f t="shared" si="7"/>
        <v>59022.48</v>
      </c>
      <c r="W62" s="104">
        <f t="shared" si="5"/>
        <v>57178.04</v>
      </c>
    </row>
    <row r="63">
      <c r="A63" s="92" t="s">
        <v>0</v>
      </c>
      <c r="B63" s="92" t="s">
        <v>1</v>
      </c>
      <c r="C63" s="92" t="s">
        <v>2</v>
      </c>
      <c r="D63" s="92" t="s">
        <v>3</v>
      </c>
      <c r="E63" s="92" t="s">
        <v>4</v>
      </c>
      <c r="F63" s="92" t="s">
        <v>5</v>
      </c>
      <c r="G63" s="92" t="s">
        <v>6</v>
      </c>
      <c r="H63" s="92" t="s">
        <v>7</v>
      </c>
      <c r="I63" s="9" t="s">
        <v>8</v>
      </c>
      <c r="J63" s="7"/>
      <c r="K63" s="7"/>
      <c r="L63" s="7"/>
      <c r="M63" s="54">
        <v>61.0</v>
      </c>
      <c r="N63" s="103">
        <v>45936.0</v>
      </c>
      <c r="O63" s="104">
        <f t="shared" ref="O63:R63" si="68">O62</f>
        <v>1844.44</v>
      </c>
      <c r="P63" s="104">
        <f t="shared" si="68"/>
        <v>1650.78</v>
      </c>
      <c r="Q63" s="104">
        <f t="shared" si="68"/>
        <v>184.44</v>
      </c>
      <c r="R63" s="104">
        <f t="shared" si="68"/>
        <v>9.22</v>
      </c>
      <c r="S63" s="104"/>
      <c r="T63" s="104">
        <f t="shared" si="3"/>
        <v>51173.98</v>
      </c>
      <c r="U63" s="104">
        <f t="shared" si="4"/>
        <v>49523.2</v>
      </c>
      <c r="V63" s="104">
        <f t="shared" si="7"/>
        <v>57178.04</v>
      </c>
      <c r="W63" s="104">
        <f t="shared" si="5"/>
        <v>55333.6</v>
      </c>
    </row>
    <row r="64">
      <c r="A64" s="106">
        <v>4.0</v>
      </c>
      <c r="B64" s="106" t="s">
        <v>52</v>
      </c>
      <c r="C64" s="106" t="s">
        <v>10</v>
      </c>
      <c r="D64" s="107" t="str">
        <f t="shared" ref="D64:E64" si="69">D52</f>
        <v>Factor Rate / POS - Clearing</v>
      </c>
      <c r="E64" s="107" t="str">
        <f t="shared" si="69"/>
        <v>Current Liability</v>
      </c>
      <c r="F64" s="106" t="s">
        <v>13</v>
      </c>
      <c r="G64" s="107" t="s">
        <v>90</v>
      </c>
      <c r="H64" s="108">
        <f>H65+H67+H66</f>
        <v>1844.44</v>
      </c>
      <c r="I64" s="123">
        <f>I52</f>
        <v>200085</v>
      </c>
      <c r="J64" s="7"/>
      <c r="K64" s="7"/>
      <c r="L64" s="7"/>
      <c r="M64" s="54">
        <v>62.0</v>
      </c>
      <c r="N64" s="103">
        <v>45967.0</v>
      </c>
      <c r="O64" s="104">
        <f t="shared" ref="O64:R64" si="70">O63</f>
        <v>1844.44</v>
      </c>
      <c r="P64" s="104">
        <f t="shared" si="70"/>
        <v>1650.78</v>
      </c>
      <c r="Q64" s="104">
        <f t="shared" si="70"/>
        <v>184.44</v>
      </c>
      <c r="R64" s="104">
        <f t="shared" si="70"/>
        <v>9.22</v>
      </c>
      <c r="S64" s="104"/>
      <c r="T64" s="104">
        <f t="shared" si="3"/>
        <v>49523.2</v>
      </c>
      <c r="U64" s="104">
        <f t="shared" si="4"/>
        <v>47872.42</v>
      </c>
      <c r="V64" s="104">
        <f t="shared" si="7"/>
        <v>55333.6</v>
      </c>
      <c r="W64" s="104">
        <f t="shared" si="5"/>
        <v>53489.16</v>
      </c>
    </row>
    <row r="65">
      <c r="A65" s="106">
        <v>4.0</v>
      </c>
      <c r="B65" s="106" t="s">
        <v>52</v>
      </c>
      <c r="C65" s="106" t="s">
        <v>10</v>
      </c>
      <c r="D65" s="107" t="s">
        <v>169</v>
      </c>
      <c r="E65" s="107" t="s">
        <v>12</v>
      </c>
      <c r="F65" s="106" t="s">
        <v>19</v>
      </c>
      <c r="G65" s="114" t="s">
        <v>12</v>
      </c>
      <c r="H65" s="108">
        <f t="shared" ref="H65:H67" si="72">H53</f>
        <v>1650.78</v>
      </c>
      <c r="I65" s="117">
        <v>100053.0</v>
      </c>
      <c r="J65" s="7"/>
      <c r="K65" s="7"/>
      <c r="L65" s="7"/>
      <c r="M65" s="54">
        <v>63.0</v>
      </c>
      <c r="N65" s="103">
        <v>45997.0</v>
      </c>
      <c r="O65" s="104">
        <f t="shared" ref="O65:R65" si="71">O64</f>
        <v>1844.44</v>
      </c>
      <c r="P65" s="104">
        <f t="shared" si="71"/>
        <v>1650.78</v>
      </c>
      <c r="Q65" s="104">
        <f t="shared" si="71"/>
        <v>184.44</v>
      </c>
      <c r="R65" s="104">
        <f t="shared" si="71"/>
        <v>9.22</v>
      </c>
      <c r="S65" s="104"/>
      <c r="T65" s="104">
        <f t="shared" si="3"/>
        <v>47872.42</v>
      </c>
      <c r="U65" s="104">
        <f t="shared" si="4"/>
        <v>46221.64</v>
      </c>
      <c r="V65" s="104">
        <f t="shared" si="7"/>
        <v>53489.16</v>
      </c>
      <c r="W65" s="104">
        <f t="shared" si="5"/>
        <v>51644.72</v>
      </c>
    </row>
    <row r="66">
      <c r="A66" s="110"/>
      <c r="B66" s="106" t="s">
        <v>52</v>
      </c>
      <c r="C66" s="106" t="s">
        <v>10</v>
      </c>
      <c r="D66" s="107" t="s">
        <v>36</v>
      </c>
      <c r="E66" s="106" t="s">
        <v>22</v>
      </c>
      <c r="F66" s="106" t="s">
        <v>19</v>
      </c>
      <c r="G66" s="107" t="s">
        <v>175</v>
      </c>
      <c r="H66" s="108">
        <f t="shared" si="72"/>
        <v>9.22</v>
      </c>
      <c r="I66" s="117">
        <v>200065.0</v>
      </c>
      <c r="J66" s="7"/>
      <c r="K66" s="7"/>
      <c r="L66" s="7"/>
      <c r="M66" s="54">
        <v>64.0</v>
      </c>
      <c r="N66" s="103" t="s">
        <v>226</v>
      </c>
      <c r="O66" s="104">
        <f t="shared" ref="O66:R66" si="73">O65</f>
        <v>1844.44</v>
      </c>
      <c r="P66" s="104">
        <f t="shared" si="73"/>
        <v>1650.78</v>
      </c>
      <c r="Q66" s="104">
        <f t="shared" si="73"/>
        <v>184.44</v>
      </c>
      <c r="R66" s="104">
        <f t="shared" si="73"/>
        <v>9.22</v>
      </c>
      <c r="S66" s="104"/>
      <c r="T66" s="104">
        <f t="shared" si="3"/>
        <v>46221.64</v>
      </c>
      <c r="U66" s="104">
        <f t="shared" si="4"/>
        <v>44570.86</v>
      </c>
      <c r="V66" s="104">
        <f t="shared" si="7"/>
        <v>51644.72</v>
      </c>
      <c r="W66" s="104">
        <f t="shared" si="5"/>
        <v>49800.28</v>
      </c>
    </row>
    <row r="67">
      <c r="A67" s="106">
        <v>4.0</v>
      </c>
      <c r="B67" s="106" t="s">
        <v>52</v>
      </c>
      <c r="C67" s="106" t="s">
        <v>10</v>
      </c>
      <c r="D67" s="107" t="s">
        <v>172</v>
      </c>
      <c r="E67" s="107" t="s">
        <v>12</v>
      </c>
      <c r="F67" s="106" t="s">
        <v>19</v>
      </c>
      <c r="G67" s="107" t="s">
        <v>28</v>
      </c>
      <c r="H67" s="108">
        <f t="shared" si="72"/>
        <v>184.44</v>
      </c>
      <c r="I67" s="117">
        <v>100064.0</v>
      </c>
      <c r="J67" s="7"/>
      <c r="K67" s="7"/>
      <c r="L67" s="7"/>
      <c r="M67" s="54">
        <v>65.0</v>
      </c>
      <c r="N67" s="103" t="s">
        <v>227</v>
      </c>
      <c r="O67" s="104">
        <f t="shared" ref="O67:R67" si="74">O66</f>
        <v>1844.44</v>
      </c>
      <c r="P67" s="104">
        <f t="shared" si="74"/>
        <v>1650.78</v>
      </c>
      <c r="Q67" s="104">
        <f t="shared" si="74"/>
        <v>184.44</v>
      </c>
      <c r="R67" s="104">
        <f t="shared" si="74"/>
        <v>9.22</v>
      </c>
      <c r="S67" s="104"/>
      <c r="T67" s="104">
        <f t="shared" si="3"/>
        <v>44570.86</v>
      </c>
      <c r="U67" s="104">
        <f t="shared" si="4"/>
        <v>42920.08</v>
      </c>
      <c r="V67" s="104">
        <f t="shared" si="7"/>
        <v>49800.28</v>
      </c>
      <c r="W67" s="104">
        <f t="shared" si="5"/>
        <v>47955.84</v>
      </c>
    </row>
    <row r="68">
      <c r="A68" s="8" t="s">
        <v>215</v>
      </c>
      <c r="B68" s="7" t="s">
        <v>228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54">
        <v>66.0</v>
      </c>
      <c r="N68" s="103" t="s">
        <v>229</v>
      </c>
      <c r="O68" s="104">
        <f t="shared" ref="O68:R68" si="75">O67</f>
        <v>1844.44</v>
      </c>
      <c r="P68" s="104">
        <f t="shared" si="75"/>
        <v>1650.78</v>
      </c>
      <c r="Q68" s="104">
        <f t="shared" si="75"/>
        <v>184.44</v>
      </c>
      <c r="R68" s="104">
        <f t="shared" si="75"/>
        <v>9.22</v>
      </c>
      <c r="S68" s="104"/>
      <c r="T68" s="104">
        <f t="shared" si="3"/>
        <v>42920.08</v>
      </c>
      <c r="U68" s="104">
        <f t="shared" si="4"/>
        <v>41269.3</v>
      </c>
      <c r="V68" s="104">
        <f t="shared" si="7"/>
        <v>47955.84</v>
      </c>
      <c r="W68" s="104">
        <f t="shared" si="5"/>
        <v>46111.4</v>
      </c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54">
        <v>67.0</v>
      </c>
      <c r="N69" s="103" t="s">
        <v>230</v>
      </c>
      <c r="O69" s="104">
        <f t="shared" ref="O69:R69" si="76">O68</f>
        <v>1844.44</v>
      </c>
      <c r="P69" s="104">
        <f t="shared" si="76"/>
        <v>1650.78</v>
      </c>
      <c r="Q69" s="104">
        <f t="shared" si="76"/>
        <v>184.44</v>
      </c>
      <c r="R69" s="104">
        <f t="shared" si="76"/>
        <v>9.22</v>
      </c>
      <c r="S69" s="104"/>
      <c r="T69" s="104">
        <f t="shared" si="3"/>
        <v>41269.3</v>
      </c>
      <c r="U69" s="104">
        <f t="shared" si="4"/>
        <v>39618.52</v>
      </c>
      <c r="V69" s="104">
        <f t="shared" si="7"/>
        <v>46111.4</v>
      </c>
      <c r="W69" s="104">
        <f t="shared" si="5"/>
        <v>44266.96</v>
      </c>
    </row>
    <row r="70">
      <c r="A70" s="8" t="s">
        <v>231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54">
        <v>68.0</v>
      </c>
      <c r="N70" s="103" t="s">
        <v>232</v>
      </c>
      <c r="O70" s="104">
        <f t="shared" ref="O70:R70" si="77">O69</f>
        <v>1844.44</v>
      </c>
      <c r="P70" s="104">
        <f t="shared" si="77"/>
        <v>1650.78</v>
      </c>
      <c r="Q70" s="104">
        <f t="shared" si="77"/>
        <v>184.44</v>
      </c>
      <c r="R70" s="104">
        <f t="shared" si="77"/>
        <v>9.22</v>
      </c>
      <c r="S70" s="104"/>
      <c r="T70" s="104">
        <f t="shared" si="3"/>
        <v>39618.52</v>
      </c>
      <c r="U70" s="104">
        <f t="shared" si="4"/>
        <v>37967.74</v>
      </c>
      <c r="V70" s="104">
        <f t="shared" si="7"/>
        <v>44266.96</v>
      </c>
      <c r="W70" s="104">
        <f t="shared" si="5"/>
        <v>42422.52</v>
      </c>
    </row>
    <row r="71">
      <c r="A71" s="7"/>
      <c r="B71" s="101" t="s">
        <v>57</v>
      </c>
      <c r="C71" s="102" t="s">
        <v>86</v>
      </c>
      <c r="E71" s="34" t="s">
        <v>187</v>
      </c>
      <c r="F71" s="7"/>
      <c r="G71" s="7"/>
      <c r="H71" s="7"/>
      <c r="I71" s="89"/>
      <c r="J71" s="7"/>
      <c r="K71" s="7"/>
      <c r="L71" s="7"/>
      <c r="M71" s="54">
        <v>69.0</v>
      </c>
      <c r="N71" s="103" t="s">
        <v>233</v>
      </c>
      <c r="O71" s="104">
        <f t="shared" ref="O71:R71" si="78">O70</f>
        <v>1844.44</v>
      </c>
      <c r="P71" s="104">
        <f t="shared" si="78"/>
        <v>1650.78</v>
      </c>
      <c r="Q71" s="104">
        <f t="shared" si="78"/>
        <v>184.44</v>
      </c>
      <c r="R71" s="104">
        <f t="shared" si="78"/>
        <v>9.22</v>
      </c>
      <c r="S71" s="104"/>
      <c r="T71" s="104">
        <f t="shared" si="3"/>
        <v>37967.74</v>
      </c>
      <c r="U71" s="104">
        <f t="shared" si="4"/>
        <v>36316.96</v>
      </c>
      <c r="V71" s="104">
        <f t="shared" si="7"/>
        <v>42422.52</v>
      </c>
      <c r="W71" s="104">
        <f t="shared" si="5"/>
        <v>40578.08</v>
      </c>
    </row>
    <row r="72">
      <c r="A72" s="92" t="s">
        <v>0</v>
      </c>
      <c r="B72" s="92" t="s">
        <v>1</v>
      </c>
      <c r="C72" s="92" t="s">
        <v>2</v>
      </c>
      <c r="D72" s="92" t="s">
        <v>3</v>
      </c>
      <c r="E72" s="92" t="s">
        <v>4</v>
      </c>
      <c r="F72" s="92" t="s">
        <v>5</v>
      </c>
      <c r="G72" s="92" t="s">
        <v>6</v>
      </c>
      <c r="H72" s="92" t="s">
        <v>7</v>
      </c>
      <c r="I72" s="9" t="s">
        <v>8</v>
      </c>
      <c r="J72" s="7"/>
      <c r="K72" s="7"/>
      <c r="L72" s="7"/>
      <c r="M72" s="54">
        <v>70.0</v>
      </c>
      <c r="N72" s="103" t="s">
        <v>234</v>
      </c>
      <c r="O72" s="104">
        <f t="shared" ref="O72:R72" si="79">O71</f>
        <v>1844.44</v>
      </c>
      <c r="P72" s="104">
        <f t="shared" si="79"/>
        <v>1650.78</v>
      </c>
      <c r="Q72" s="104">
        <f t="shared" si="79"/>
        <v>184.44</v>
      </c>
      <c r="R72" s="104">
        <f t="shared" si="79"/>
        <v>9.22</v>
      </c>
      <c r="S72" s="104"/>
      <c r="T72" s="104">
        <f t="shared" si="3"/>
        <v>36316.96</v>
      </c>
      <c r="U72" s="104">
        <f t="shared" si="4"/>
        <v>34666.18</v>
      </c>
      <c r="V72" s="104">
        <f t="shared" si="7"/>
        <v>40578.08</v>
      </c>
      <c r="W72" s="104">
        <f t="shared" si="5"/>
        <v>38733.64</v>
      </c>
    </row>
    <row r="73">
      <c r="A73" s="106">
        <v>5.0</v>
      </c>
      <c r="B73" s="106" t="s">
        <v>52</v>
      </c>
      <c r="C73" s="106" t="s">
        <v>10</v>
      </c>
      <c r="D73" s="106" t="s">
        <v>155</v>
      </c>
      <c r="E73" s="106" t="s">
        <v>156</v>
      </c>
      <c r="F73" s="106" t="s">
        <v>13</v>
      </c>
      <c r="G73" s="106" t="s">
        <v>156</v>
      </c>
      <c r="H73" s="106">
        <v>1844.44</v>
      </c>
      <c r="I73" s="117">
        <v>400041.0</v>
      </c>
      <c r="J73" s="7"/>
      <c r="K73" s="7"/>
      <c r="L73" s="7"/>
      <c r="M73" s="54">
        <v>71.0</v>
      </c>
      <c r="N73" s="103" t="s">
        <v>235</v>
      </c>
      <c r="O73" s="104">
        <f t="shared" ref="O73:R73" si="80">O72</f>
        <v>1844.44</v>
      </c>
      <c r="P73" s="104">
        <f t="shared" si="80"/>
        <v>1650.78</v>
      </c>
      <c r="Q73" s="104">
        <f t="shared" si="80"/>
        <v>184.44</v>
      </c>
      <c r="R73" s="104">
        <f t="shared" si="80"/>
        <v>9.22</v>
      </c>
      <c r="S73" s="104"/>
      <c r="T73" s="104">
        <f t="shared" si="3"/>
        <v>34666.18</v>
      </c>
      <c r="U73" s="104">
        <f t="shared" si="4"/>
        <v>33015.4</v>
      </c>
      <c r="V73" s="104">
        <f t="shared" si="7"/>
        <v>38733.64</v>
      </c>
      <c r="W73" s="104">
        <f t="shared" si="5"/>
        <v>36889.2</v>
      </c>
    </row>
    <row r="74">
      <c r="A74" s="106">
        <v>5.0</v>
      </c>
      <c r="B74" s="106" t="s">
        <v>52</v>
      </c>
      <c r="C74" s="106" t="s">
        <v>10</v>
      </c>
      <c r="D74" s="106" t="s">
        <v>169</v>
      </c>
      <c r="E74" s="106" t="s">
        <v>12</v>
      </c>
      <c r="F74" s="106" t="s">
        <v>19</v>
      </c>
      <c r="G74" s="106" t="s">
        <v>170</v>
      </c>
      <c r="H74" s="106">
        <v>1844.44</v>
      </c>
      <c r="I74" s="117">
        <v>100053.0</v>
      </c>
      <c r="J74" s="7"/>
      <c r="K74" s="7"/>
      <c r="L74" s="7"/>
      <c r="M74" s="54">
        <v>72.0</v>
      </c>
      <c r="N74" s="103" t="s">
        <v>236</v>
      </c>
      <c r="O74" s="104">
        <f t="shared" ref="O74:R74" si="81">O73</f>
        <v>1844.44</v>
      </c>
      <c r="P74" s="104">
        <f t="shared" si="81"/>
        <v>1650.78</v>
      </c>
      <c r="Q74" s="104">
        <f t="shared" si="81"/>
        <v>184.44</v>
      </c>
      <c r="R74" s="104">
        <f t="shared" si="81"/>
        <v>9.22</v>
      </c>
      <c r="S74" s="104"/>
      <c r="T74" s="104">
        <f t="shared" si="3"/>
        <v>33015.4</v>
      </c>
      <c r="U74" s="104">
        <f t="shared" si="4"/>
        <v>31364.62</v>
      </c>
      <c r="V74" s="104">
        <f t="shared" si="7"/>
        <v>36889.2</v>
      </c>
      <c r="W74" s="104">
        <f t="shared" si="5"/>
        <v>35044.76</v>
      </c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54">
        <v>73.0</v>
      </c>
      <c r="N75" s="103" t="s">
        <v>237</v>
      </c>
      <c r="O75" s="104">
        <f t="shared" ref="O75:R75" si="82">O74</f>
        <v>1844.44</v>
      </c>
      <c r="P75" s="104">
        <f t="shared" si="82"/>
        <v>1650.78</v>
      </c>
      <c r="Q75" s="104">
        <f t="shared" si="82"/>
        <v>184.44</v>
      </c>
      <c r="R75" s="104">
        <f t="shared" si="82"/>
        <v>9.22</v>
      </c>
      <c r="S75" s="104"/>
      <c r="T75" s="104">
        <f t="shared" si="3"/>
        <v>31364.62</v>
      </c>
      <c r="U75" s="104">
        <f t="shared" si="4"/>
        <v>29713.84</v>
      </c>
      <c r="V75" s="104">
        <f t="shared" si="7"/>
        <v>35044.76</v>
      </c>
      <c r="W75" s="104">
        <f t="shared" si="5"/>
        <v>33200.32</v>
      </c>
    </row>
    <row r="76">
      <c r="A76" s="8" t="s">
        <v>157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54">
        <v>74.0</v>
      </c>
      <c r="N76" s="103" t="s">
        <v>238</v>
      </c>
      <c r="O76" s="104">
        <f t="shared" ref="O76:R76" si="83">O75</f>
        <v>1844.44</v>
      </c>
      <c r="P76" s="104">
        <f t="shared" si="83"/>
        <v>1650.78</v>
      </c>
      <c r="Q76" s="104">
        <f t="shared" si="83"/>
        <v>184.44</v>
      </c>
      <c r="R76" s="104">
        <f t="shared" si="83"/>
        <v>9.22</v>
      </c>
      <c r="S76" s="104"/>
      <c r="T76" s="104">
        <f t="shared" si="3"/>
        <v>29713.84</v>
      </c>
      <c r="U76" s="104">
        <f t="shared" si="4"/>
        <v>28063.06</v>
      </c>
      <c r="V76" s="104">
        <f t="shared" si="7"/>
        <v>33200.32</v>
      </c>
      <c r="W76" s="104">
        <f t="shared" si="5"/>
        <v>31355.88</v>
      </c>
    </row>
    <row r="77">
      <c r="A77" s="7"/>
      <c r="B77" s="101" t="s">
        <v>57</v>
      </c>
      <c r="C77" s="102" t="s">
        <v>86</v>
      </c>
      <c r="E77" s="34" t="s">
        <v>187</v>
      </c>
      <c r="F77" s="7"/>
      <c r="G77" s="7"/>
      <c r="H77" s="7"/>
      <c r="I77" s="89"/>
      <c r="J77" s="7"/>
      <c r="K77" s="7"/>
      <c r="L77" s="7"/>
      <c r="M77" s="54">
        <v>75.0</v>
      </c>
      <c r="N77" s="103" t="s">
        <v>239</v>
      </c>
      <c r="O77" s="104">
        <f t="shared" ref="O77:R77" si="84">O76</f>
        <v>1844.44</v>
      </c>
      <c r="P77" s="104">
        <f t="shared" si="84"/>
        <v>1650.78</v>
      </c>
      <c r="Q77" s="104">
        <f t="shared" si="84"/>
        <v>184.44</v>
      </c>
      <c r="R77" s="104">
        <f t="shared" si="84"/>
        <v>9.22</v>
      </c>
      <c r="S77" s="104"/>
      <c r="T77" s="104">
        <f t="shared" si="3"/>
        <v>28063.06</v>
      </c>
      <c r="U77" s="104">
        <f t="shared" si="4"/>
        <v>26412.28</v>
      </c>
      <c r="V77" s="104">
        <f t="shared" si="7"/>
        <v>31355.88</v>
      </c>
      <c r="W77" s="104">
        <f t="shared" si="5"/>
        <v>29511.44</v>
      </c>
    </row>
    <row r="78">
      <c r="A78" s="92" t="s">
        <v>0</v>
      </c>
      <c r="B78" s="92" t="s">
        <v>1</v>
      </c>
      <c r="C78" s="92" t="s">
        <v>2</v>
      </c>
      <c r="D78" s="92" t="s">
        <v>3</v>
      </c>
      <c r="E78" s="92" t="s">
        <v>4</v>
      </c>
      <c r="F78" s="92" t="s">
        <v>5</v>
      </c>
      <c r="G78" s="92" t="s">
        <v>6</v>
      </c>
      <c r="H78" s="92" t="s">
        <v>7</v>
      </c>
      <c r="I78" s="9" t="s">
        <v>8</v>
      </c>
      <c r="J78" s="7"/>
      <c r="K78" s="7"/>
      <c r="L78" s="7"/>
      <c r="M78" s="54">
        <v>76.0</v>
      </c>
      <c r="N78" s="103" t="s">
        <v>240</v>
      </c>
      <c r="O78" s="104">
        <f t="shared" ref="O78:R78" si="85">O77</f>
        <v>1844.44</v>
      </c>
      <c r="P78" s="104">
        <f t="shared" si="85"/>
        <v>1650.78</v>
      </c>
      <c r="Q78" s="104">
        <f t="shared" si="85"/>
        <v>184.44</v>
      </c>
      <c r="R78" s="104">
        <f t="shared" si="85"/>
        <v>9.22</v>
      </c>
      <c r="S78" s="104"/>
      <c r="T78" s="104">
        <f t="shared" si="3"/>
        <v>26412.28</v>
      </c>
      <c r="U78" s="104">
        <f t="shared" si="4"/>
        <v>24761.5</v>
      </c>
      <c r="V78" s="104">
        <f t="shared" si="7"/>
        <v>29511.44</v>
      </c>
      <c r="W78" s="104">
        <f t="shared" si="5"/>
        <v>27667</v>
      </c>
    </row>
    <row r="79">
      <c r="A79" s="106">
        <v>6.0</v>
      </c>
      <c r="B79" s="106" t="s">
        <v>52</v>
      </c>
      <c r="C79" s="106" t="s">
        <v>10</v>
      </c>
      <c r="D79" s="106" t="s">
        <v>155</v>
      </c>
      <c r="E79" s="106" t="s">
        <v>156</v>
      </c>
      <c r="F79" s="106" t="s">
        <v>13</v>
      </c>
      <c r="G79" s="106" t="s">
        <v>156</v>
      </c>
      <c r="H79" s="106">
        <f t="shared" ref="H79:H80" si="87">1844.44/2</f>
        <v>922.22</v>
      </c>
      <c r="I79" s="117">
        <v>400041.0</v>
      </c>
      <c r="J79" s="7"/>
      <c r="K79" s="7"/>
      <c r="L79" s="7"/>
      <c r="M79" s="54">
        <v>77.0</v>
      </c>
      <c r="N79" s="103" t="s">
        <v>241</v>
      </c>
      <c r="O79" s="104">
        <f t="shared" ref="O79:R79" si="86">O78</f>
        <v>1844.44</v>
      </c>
      <c r="P79" s="104">
        <f t="shared" si="86"/>
        <v>1650.78</v>
      </c>
      <c r="Q79" s="104">
        <f t="shared" si="86"/>
        <v>184.44</v>
      </c>
      <c r="R79" s="104">
        <f t="shared" si="86"/>
        <v>9.22</v>
      </c>
      <c r="S79" s="104"/>
      <c r="T79" s="104">
        <f t="shared" si="3"/>
        <v>24761.5</v>
      </c>
      <c r="U79" s="104">
        <f t="shared" si="4"/>
        <v>23110.72</v>
      </c>
      <c r="V79" s="104">
        <f t="shared" si="7"/>
        <v>27667</v>
      </c>
      <c r="W79" s="104">
        <f t="shared" si="5"/>
        <v>25822.56</v>
      </c>
    </row>
    <row r="80">
      <c r="A80" s="106">
        <v>6.0</v>
      </c>
      <c r="B80" s="106" t="s">
        <v>52</v>
      </c>
      <c r="C80" s="106" t="s">
        <v>10</v>
      </c>
      <c r="D80" s="106" t="s">
        <v>169</v>
      </c>
      <c r="E80" s="106" t="s">
        <v>12</v>
      </c>
      <c r="F80" s="106" t="s">
        <v>19</v>
      </c>
      <c r="G80" s="106" t="s">
        <v>170</v>
      </c>
      <c r="H80" s="106">
        <f t="shared" si="87"/>
        <v>922.22</v>
      </c>
      <c r="I80" s="117">
        <v>100053.0</v>
      </c>
      <c r="J80" s="7"/>
      <c r="K80" s="7"/>
      <c r="L80" s="7"/>
      <c r="M80" s="54">
        <v>78.0</v>
      </c>
      <c r="N80" s="103" t="s">
        <v>242</v>
      </c>
      <c r="O80" s="104">
        <f t="shared" ref="O80:R80" si="88">O79</f>
        <v>1844.44</v>
      </c>
      <c r="P80" s="104">
        <f t="shared" si="88"/>
        <v>1650.78</v>
      </c>
      <c r="Q80" s="104">
        <f t="shared" si="88"/>
        <v>184.44</v>
      </c>
      <c r="R80" s="104">
        <f t="shared" si="88"/>
        <v>9.22</v>
      </c>
      <c r="S80" s="104"/>
      <c r="T80" s="104">
        <f t="shared" si="3"/>
        <v>23110.72</v>
      </c>
      <c r="U80" s="104">
        <f t="shared" si="4"/>
        <v>21459.94</v>
      </c>
      <c r="V80" s="104">
        <f t="shared" si="7"/>
        <v>25822.56</v>
      </c>
      <c r="W80" s="104">
        <f t="shared" si="5"/>
        <v>23978.12</v>
      </c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54">
        <v>79.0</v>
      </c>
      <c r="N81" s="103" t="s">
        <v>243</v>
      </c>
      <c r="O81" s="104">
        <f t="shared" ref="O81:R81" si="89">O80</f>
        <v>1844.44</v>
      </c>
      <c r="P81" s="104">
        <f t="shared" si="89"/>
        <v>1650.78</v>
      </c>
      <c r="Q81" s="104">
        <f t="shared" si="89"/>
        <v>184.44</v>
      </c>
      <c r="R81" s="104">
        <f t="shared" si="89"/>
        <v>9.22</v>
      </c>
      <c r="S81" s="104"/>
      <c r="T81" s="104">
        <f t="shared" si="3"/>
        <v>21459.94</v>
      </c>
      <c r="U81" s="104">
        <f t="shared" si="4"/>
        <v>19809.16</v>
      </c>
      <c r="V81" s="104">
        <f t="shared" si="7"/>
        <v>23978.12</v>
      </c>
      <c r="W81" s="104">
        <f t="shared" si="5"/>
        <v>22133.68</v>
      </c>
    </row>
    <row r="82">
      <c r="A82" s="8" t="s">
        <v>51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54">
        <v>80.0</v>
      </c>
      <c r="N82" s="103" t="s">
        <v>244</v>
      </c>
      <c r="O82" s="104">
        <f t="shared" ref="O82:R82" si="90">O81</f>
        <v>1844.44</v>
      </c>
      <c r="P82" s="104">
        <f t="shared" si="90"/>
        <v>1650.78</v>
      </c>
      <c r="Q82" s="104">
        <f t="shared" si="90"/>
        <v>184.44</v>
      </c>
      <c r="R82" s="104">
        <f t="shared" si="90"/>
        <v>9.22</v>
      </c>
      <c r="S82" s="104"/>
      <c r="T82" s="104">
        <f t="shared" si="3"/>
        <v>19809.16</v>
      </c>
      <c r="U82" s="104">
        <f t="shared" si="4"/>
        <v>18158.38</v>
      </c>
      <c r="V82" s="104">
        <f t="shared" si="7"/>
        <v>22133.68</v>
      </c>
      <c r="W82" s="104">
        <f t="shared" si="5"/>
        <v>20289.24</v>
      </c>
    </row>
    <row r="83">
      <c r="A83" s="9" t="s">
        <v>40</v>
      </c>
      <c r="B83" s="9" t="s">
        <v>1</v>
      </c>
      <c r="C83" s="9" t="s">
        <v>2</v>
      </c>
      <c r="D83" s="9" t="s">
        <v>3</v>
      </c>
      <c r="E83" s="20"/>
      <c r="F83" s="9" t="s">
        <v>5</v>
      </c>
      <c r="G83" s="9" t="s">
        <v>6</v>
      </c>
      <c r="H83" s="115" t="s">
        <v>7</v>
      </c>
      <c r="I83" s="9" t="s">
        <v>8</v>
      </c>
      <c r="J83" s="7"/>
      <c r="K83" s="7"/>
      <c r="L83" s="7"/>
      <c r="M83" s="54">
        <v>81.0</v>
      </c>
      <c r="N83" s="103" t="s">
        <v>134</v>
      </c>
      <c r="O83" s="104">
        <f t="shared" ref="O83:R83" si="91">O82</f>
        <v>1844.44</v>
      </c>
      <c r="P83" s="104">
        <f t="shared" si="91"/>
        <v>1650.78</v>
      </c>
      <c r="Q83" s="104">
        <f t="shared" si="91"/>
        <v>184.44</v>
      </c>
      <c r="R83" s="104">
        <f t="shared" si="91"/>
        <v>9.22</v>
      </c>
      <c r="S83" s="104"/>
      <c r="T83" s="104">
        <f t="shared" si="3"/>
        <v>18158.38</v>
      </c>
      <c r="U83" s="104">
        <f t="shared" si="4"/>
        <v>16507.6</v>
      </c>
      <c r="V83" s="104">
        <f t="shared" si="7"/>
        <v>20289.24</v>
      </c>
      <c r="W83" s="104">
        <f t="shared" si="5"/>
        <v>18444.8</v>
      </c>
    </row>
    <row r="84">
      <c r="A84" s="106">
        <v>7.0</v>
      </c>
      <c r="B84" s="14" t="s">
        <v>52</v>
      </c>
      <c r="C84" s="14" t="s">
        <v>10</v>
      </c>
      <c r="D84" s="14" t="s">
        <v>53</v>
      </c>
      <c r="E84" s="14" t="s">
        <v>12</v>
      </c>
      <c r="F84" s="14" t="s">
        <v>13</v>
      </c>
      <c r="G84" s="27"/>
      <c r="H84" s="16">
        <v>10000.0</v>
      </c>
      <c r="I84" s="117">
        <v>100006.0</v>
      </c>
      <c r="J84" s="7"/>
      <c r="K84" s="11">
        <v>1000.0</v>
      </c>
      <c r="L84" s="11" t="s">
        <v>261</v>
      </c>
      <c r="M84" s="54">
        <v>82.0</v>
      </c>
      <c r="N84" s="103">
        <v>45664.0</v>
      </c>
      <c r="O84" s="104">
        <f t="shared" ref="O84:R84" si="92">O83</f>
        <v>1844.44</v>
      </c>
      <c r="P84" s="104">
        <f t="shared" si="92"/>
        <v>1650.78</v>
      </c>
      <c r="Q84" s="104">
        <f t="shared" si="92"/>
        <v>184.44</v>
      </c>
      <c r="R84" s="104">
        <f t="shared" si="92"/>
        <v>9.22</v>
      </c>
      <c r="S84" s="104"/>
      <c r="T84" s="104">
        <f t="shared" si="3"/>
        <v>16507.6</v>
      </c>
      <c r="U84" s="104">
        <f t="shared" si="4"/>
        <v>14856.82</v>
      </c>
      <c r="V84" s="104">
        <f t="shared" si="7"/>
        <v>18444.8</v>
      </c>
      <c r="W84" s="104">
        <f t="shared" si="5"/>
        <v>16600.36</v>
      </c>
    </row>
    <row r="85">
      <c r="A85" s="106">
        <v>7.0</v>
      </c>
      <c r="B85" s="14" t="s">
        <v>52</v>
      </c>
      <c r="C85" s="14" t="s">
        <v>10</v>
      </c>
      <c r="D85" s="14" t="s">
        <v>245</v>
      </c>
      <c r="E85" s="14" t="s">
        <v>22</v>
      </c>
      <c r="F85" s="14" t="s">
        <v>19</v>
      </c>
      <c r="G85" s="27"/>
      <c r="H85" s="16">
        <v>10000.0</v>
      </c>
      <c r="I85" s="117">
        <v>210002.0</v>
      </c>
      <c r="J85" s="7"/>
      <c r="K85" s="11">
        <v>1844.44</v>
      </c>
      <c r="L85" s="7"/>
      <c r="M85" s="54">
        <v>83.0</v>
      </c>
      <c r="N85" s="103">
        <v>45695.0</v>
      </c>
      <c r="O85" s="104">
        <f t="shared" ref="O85:R85" si="93">O84</f>
        <v>1844.44</v>
      </c>
      <c r="P85" s="104">
        <f t="shared" si="93"/>
        <v>1650.78</v>
      </c>
      <c r="Q85" s="104">
        <f t="shared" si="93"/>
        <v>184.44</v>
      </c>
      <c r="R85" s="104">
        <f t="shared" si="93"/>
        <v>9.22</v>
      </c>
      <c r="S85" s="104"/>
      <c r="T85" s="104">
        <f t="shared" si="3"/>
        <v>14856.82</v>
      </c>
      <c r="U85" s="104">
        <f t="shared" si="4"/>
        <v>13206.04</v>
      </c>
      <c r="V85" s="104">
        <f t="shared" si="7"/>
        <v>16600.36</v>
      </c>
      <c r="W85" s="104">
        <f t="shared" si="5"/>
        <v>14755.92</v>
      </c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11">
        <v>1844.44</v>
      </c>
      <c r="L86" s="7"/>
      <c r="M86" s="54">
        <v>84.0</v>
      </c>
      <c r="N86" s="103">
        <v>45723.0</v>
      </c>
      <c r="O86" s="104">
        <f t="shared" ref="O86:R86" si="94">O85</f>
        <v>1844.44</v>
      </c>
      <c r="P86" s="104">
        <f t="shared" si="94"/>
        <v>1650.78</v>
      </c>
      <c r="Q86" s="104">
        <f t="shared" si="94"/>
        <v>184.44</v>
      </c>
      <c r="R86" s="104">
        <f t="shared" si="94"/>
        <v>9.22</v>
      </c>
      <c r="S86" s="104"/>
      <c r="T86" s="104">
        <f t="shared" si="3"/>
        <v>13206.04</v>
      </c>
      <c r="U86" s="104">
        <f t="shared" si="4"/>
        <v>11555.26</v>
      </c>
      <c r="V86" s="104">
        <f t="shared" si="7"/>
        <v>14755.92</v>
      </c>
      <c r="W86" s="104">
        <f t="shared" si="5"/>
        <v>12911.48</v>
      </c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11">
        <v>1844.44</v>
      </c>
      <c r="L87" s="7"/>
      <c r="M87" s="54">
        <v>85.0</v>
      </c>
      <c r="N87" s="103">
        <v>45754.0</v>
      </c>
      <c r="O87" s="104">
        <f t="shared" ref="O87:R87" si="95">O86</f>
        <v>1844.44</v>
      </c>
      <c r="P87" s="104">
        <f t="shared" si="95"/>
        <v>1650.78</v>
      </c>
      <c r="Q87" s="104">
        <f t="shared" si="95"/>
        <v>184.44</v>
      </c>
      <c r="R87" s="104">
        <f t="shared" si="95"/>
        <v>9.22</v>
      </c>
      <c r="S87" s="104"/>
      <c r="T87" s="104">
        <f t="shared" si="3"/>
        <v>11555.26</v>
      </c>
      <c r="U87" s="104">
        <f t="shared" si="4"/>
        <v>9904.48</v>
      </c>
      <c r="V87" s="104">
        <f t="shared" si="7"/>
        <v>12911.48</v>
      </c>
      <c r="W87" s="104">
        <f t="shared" si="5"/>
        <v>11067.04</v>
      </c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11">
        <v>1844.44</v>
      </c>
      <c r="L88" s="7"/>
      <c r="M88" s="54">
        <v>86.0</v>
      </c>
      <c r="N88" s="103">
        <v>45784.0</v>
      </c>
      <c r="O88" s="104">
        <f t="shared" ref="O88:R88" si="96">O87</f>
        <v>1844.44</v>
      </c>
      <c r="P88" s="104">
        <f t="shared" si="96"/>
        <v>1650.78</v>
      </c>
      <c r="Q88" s="104">
        <f t="shared" si="96"/>
        <v>184.44</v>
      </c>
      <c r="R88" s="104">
        <f t="shared" si="96"/>
        <v>9.22</v>
      </c>
      <c r="S88" s="104"/>
      <c r="T88" s="104">
        <f t="shared" si="3"/>
        <v>9904.48</v>
      </c>
      <c r="U88" s="104">
        <f t="shared" si="4"/>
        <v>8253.7</v>
      </c>
      <c r="V88" s="104">
        <f t="shared" si="7"/>
        <v>11067.04</v>
      </c>
      <c r="W88" s="104">
        <f t="shared" si="5"/>
        <v>9222.6</v>
      </c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11">
        <v>1844.44</v>
      </c>
      <c r="L89" s="7"/>
      <c r="M89" s="54">
        <v>87.0</v>
      </c>
      <c r="N89" s="103">
        <v>45815.0</v>
      </c>
      <c r="O89" s="104">
        <f t="shared" ref="O89:R89" si="97">O88</f>
        <v>1844.44</v>
      </c>
      <c r="P89" s="104">
        <f t="shared" si="97"/>
        <v>1650.78</v>
      </c>
      <c r="Q89" s="104">
        <f t="shared" si="97"/>
        <v>184.44</v>
      </c>
      <c r="R89" s="104">
        <f t="shared" si="97"/>
        <v>9.22</v>
      </c>
      <c r="S89" s="104"/>
      <c r="T89" s="104">
        <f t="shared" si="3"/>
        <v>8253.7</v>
      </c>
      <c r="U89" s="104">
        <f t="shared" si="4"/>
        <v>6602.92</v>
      </c>
      <c r="V89" s="104">
        <f t="shared" si="7"/>
        <v>9222.6</v>
      </c>
      <c r="W89" s="104">
        <f t="shared" si="5"/>
        <v>7378.16</v>
      </c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11">
        <v>1844.44</v>
      </c>
      <c r="L90" s="7"/>
      <c r="M90" s="54">
        <v>88.0</v>
      </c>
      <c r="N90" s="103">
        <v>45845.0</v>
      </c>
      <c r="O90" s="104">
        <f t="shared" ref="O90:R90" si="98">O89</f>
        <v>1844.44</v>
      </c>
      <c r="P90" s="104">
        <f t="shared" si="98"/>
        <v>1650.78</v>
      </c>
      <c r="Q90" s="104">
        <f t="shared" si="98"/>
        <v>184.44</v>
      </c>
      <c r="R90" s="104">
        <f t="shared" si="98"/>
        <v>9.22</v>
      </c>
      <c r="S90" s="104"/>
      <c r="T90" s="104">
        <f t="shared" si="3"/>
        <v>6602.92</v>
      </c>
      <c r="U90" s="104">
        <f t="shared" si="4"/>
        <v>4952.14</v>
      </c>
      <c r="V90" s="104">
        <f t="shared" si="7"/>
        <v>7378.16</v>
      </c>
      <c r="W90" s="104">
        <f t="shared" si="5"/>
        <v>5533.72</v>
      </c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11">
        <v>1844.44</v>
      </c>
      <c r="L91" s="7"/>
      <c r="M91" s="54">
        <v>89.0</v>
      </c>
      <c r="N91" s="103">
        <v>45876.0</v>
      </c>
      <c r="O91" s="104">
        <f t="shared" ref="O91:R91" si="99">O90</f>
        <v>1844.44</v>
      </c>
      <c r="P91" s="104">
        <f t="shared" si="99"/>
        <v>1650.78</v>
      </c>
      <c r="Q91" s="104">
        <f t="shared" si="99"/>
        <v>184.44</v>
      </c>
      <c r="R91" s="104">
        <f t="shared" si="99"/>
        <v>9.22</v>
      </c>
      <c r="S91" s="104"/>
      <c r="T91" s="104">
        <f t="shared" si="3"/>
        <v>4952.14</v>
      </c>
      <c r="U91" s="104">
        <f t="shared" si="4"/>
        <v>3301.36</v>
      </c>
      <c r="V91" s="104">
        <f t="shared" si="7"/>
        <v>5533.72</v>
      </c>
      <c r="W91" s="104">
        <f t="shared" si="5"/>
        <v>3689.28</v>
      </c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11">
        <v>1844.44</v>
      </c>
      <c r="L92" s="7"/>
      <c r="M92" s="54">
        <v>90.0</v>
      </c>
      <c r="N92" s="103">
        <v>45907.0</v>
      </c>
      <c r="O92" s="104">
        <f t="shared" ref="O92:R92" si="100">O91</f>
        <v>1844.44</v>
      </c>
      <c r="P92" s="104">
        <f t="shared" si="100"/>
        <v>1650.78</v>
      </c>
      <c r="Q92" s="104">
        <f t="shared" si="100"/>
        <v>184.44</v>
      </c>
      <c r="R92" s="104">
        <f t="shared" si="100"/>
        <v>9.22</v>
      </c>
      <c r="S92" s="104"/>
      <c r="T92" s="104">
        <f t="shared" si="3"/>
        <v>3301.36</v>
      </c>
      <c r="U92" s="104">
        <f t="shared" si="4"/>
        <v>1650.58</v>
      </c>
      <c r="V92" s="104">
        <f t="shared" si="7"/>
        <v>3689.28</v>
      </c>
      <c r="W92" s="104">
        <f t="shared" si="5"/>
        <v>1844.84</v>
      </c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11">
        <v>1844.44</v>
      </c>
      <c r="L93" s="7"/>
      <c r="M93" s="11">
        <v>91.0</v>
      </c>
      <c r="N93" s="103">
        <v>45937.0</v>
      </c>
      <c r="O93" s="104">
        <f t="shared" ref="O93:R93" si="101">O92</f>
        <v>1844.44</v>
      </c>
      <c r="P93" s="104">
        <f t="shared" si="101"/>
        <v>1650.78</v>
      </c>
      <c r="Q93" s="104">
        <f t="shared" si="101"/>
        <v>184.44</v>
      </c>
      <c r="R93" s="104">
        <f t="shared" si="101"/>
        <v>9.22</v>
      </c>
      <c r="S93" s="104"/>
      <c r="T93" s="104">
        <f t="shared" si="3"/>
        <v>1650.58</v>
      </c>
      <c r="U93" s="104">
        <f t="shared" si="4"/>
        <v>-0.1999999999</v>
      </c>
      <c r="V93" s="104">
        <f t="shared" si="7"/>
        <v>1844.84</v>
      </c>
      <c r="W93" s="104">
        <f t="shared" si="5"/>
        <v>0.3999999998</v>
      </c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11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11" t="s">
        <v>262</v>
      </c>
      <c r="M95" s="11">
        <f>0.17*31*17600/100</f>
        <v>927.52</v>
      </c>
      <c r="N95" s="103"/>
      <c r="O95" s="104"/>
      <c r="P95" s="104"/>
      <c r="Q95" s="104"/>
      <c r="R95" s="104" t="str">
        <f>R94</f>
        <v/>
      </c>
      <c r="S95" s="7"/>
      <c r="T95" s="7"/>
      <c r="U95" s="7"/>
      <c r="V95" s="7"/>
      <c r="W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11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11"/>
      <c r="N97" s="11"/>
      <c r="O97" s="7"/>
      <c r="P97" s="7"/>
      <c r="Q97" s="7"/>
      <c r="R97" s="7"/>
      <c r="S97" s="7"/>
      <c r="T97" s="7"/>
      <c r="U97" s="7"/>
      <c r="V97" s="7"/>
      <c r="W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11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11"/>
      <c r="N101" s="7"/>
      <c r="O101" s="11"/>
      <c r="P101" s="7"/>
      <c r="Q101" s="7"/>
      <c r="R101" s="7"/>
      <c r="S101" s="7"/>
      <c r="T101" s="7"/>
      <c r="U101" s="7"/>
      <c r="V101" s="7"/>
      <c r="W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11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>
      <c r="A264" s="89"/>
      <c r="B264" s="89"/>
      <c r="C264" s="89"/>
      <c r="D264" s="89"/>
      <c r="E264" s="89"/>
      <c r="F264" s="89"/>
      <c r="G264" s="89"/>
      <c r="H264" s="89"/>
      <c r="I264" s="89"/>
      <c r="J264" s="89"/>
    </row>
    <row r="265">
      <c r="A265" s="89"/>
      <c r="B265" s="89"/>
      <c r="C265" s="89"/>
      <c r="D265" s="89"/>
      <c r="E265" s="89"/>
      <c r="F265" s="89"/>
      <c r="G265" s="89"/>
      <c r="H265" s="89"/>
      <c r="I265" s="89"/>
      <c r="J265" s="89"/>
    </row>
    <row r="266">
      <c r="A266" s="89"/>
      <c r="B266" s="89"/>
      <c r="C266" s="89"/>
      <c r="D266" s="89"/>
      <c r="E266" s="89"/>
      <c r="F266" s="89"/>
      <c r="G266" s="89"/>
      <c r="H266" s="89"/>
      <c r="I266" s="89"/>
      <c r="J266" s="89"/>
    </row>
    <row r="267">
      <c r="A267" s="89"/>
      <c r="B267" s="89"/>
      <c r="C267" s="89"/>
      <c r="D267" s="89"/>
      <c r="E267" s="89"/>
      <c r="F267" s="89"/>
      <c r="G267" s="89"/>
      <c r="H267" s="89"/>
      <c r="I267" s="89"/>
      <c r="J267" s="89"/>
    </row>
    <row r="268">
      <c r="A268" s="89"/>
      <c r="B268" s="89"/>
      <c r="C268" s="89"/>
      <c r="D268" s="89"/>
      <c r="E268" s="89"/>
      <c r="F268" s="89"/>
      <c r="G268" s="89"/>
      <c r="H268" s="89"/>
      <c r="I268" s="89"/>
      <c r="J268" s="89"/>
    </row>
    <row r="269">
      <c r="A269" s="89"/>
      <c r="B269" s="89"/>
      <c r="C269" s="89"/>
      <c r="D269" s="89"/>
      <c r="E269" s="89"/>
      <c r="F269" s="89"/>
      <c r="G269" s="89"/>
      <c r="H269" s="89"/>
      <c r="I269" s="89"/>
      <c r="J269" s="89"/>
    </row>
    <row r="270">
      <c r="A270" s="89"/>
      <c r="B270" s="89"/>
      <c r="C270" s="89"/>
      <c r="D270" s="89"/>
      <c r="E270" s="89"/>
      <c r="F270" s="89"/>
      <c r="G270" s="89"/>
      <c r="H270" s="89"/>
      <c r="I270" s="89"/>
      <c r="J270" s="89"/>
    </row>
    <row r="271">
      <c r="A271" s="89"/>
      <c r="B271" s="89"/>
      <c r="C271" s="89"/>
      <c r="D271" s="89"/>
      <c r="E271" s="89"/>
      <c r="F271" s="89"/>
      <c r="G271" s="89"/>
      <c r="H271" s="89"/>
      <c r="I271" s="89"/>
      <c r="J271" s="89"/>
    </row>
    <row r="272">
      <c r="A272" s="89"/>
      <c r="B272" s="89"/>
      <c r="C272" s="89"/>
      <c r="D272" s="89"/>
      <c r="E272" s="89"/>
      <c r="F272" s="89"/>
      <c r="G272" s="89"/>
      <c r="H272" s="89"/>
      <c r="I272" s="89"/>
      <c r="J272" s="89"/>
    </row>
    <row r="273">
      <c r="A273" s="89"/>
      <c r="B273" s="89"/>
      <c r="C273" s="89"/>
      <c r="D273" s="89"/>
      <c r="E273" s="89"/>
      <c r="F273" s="89"/>
      <c r="G273" s="89"/>
      <c r="H273" s="89"/>
      <c r="I273" s="89"/>
      <c r="J273" s="89"/>
    </row>
    <row r="274">
      <c r="A274" s="89"/>
      <c r="B274" s="89"/>
      <c r="C274" s="89"/>
      <c r="D274" s="89"/>
      <c r="E274" s="89"/>
      <c r="F274" s="89"/>
      <c r="G274" s="89"/>
      <c r="H274" s="89"/>
      <c r="I274" s="89"/>
      <c r="J274" s="89"/>
    </row>
    <row r="275">
      <c r="A275" s="89"/>
      <c r="B275" s="89"/>
      <c r="C275" s="89"/>
      <c r="D275" s="89"/>
      <c r="E275" s="89"/>
      <c r="F275" s="89"/>
      <c r="G275" s="89"/>
      <c r="H275" s="89"/>
      <c r="I275" s="89"/>
      <c r="J275" s="89"/>
    </row>
    <row r="276">
      <c r="A276" s="89"/>
      <c r="B276" s="89"/>
      <c r="C276" s="89"/>
      <c r="D276" s="89"/>
      <c r="E276" s="89"/>
      <c r="F276" s="89"/>
      <c r="G276" s="89"/>
      <c r="H276" s="89"/>
      <c r="I276" s="89"/>
      <c r="J276" s="89"/>
    </row>
  </sheetData>
  <mergeCells count="8">
    <mergeCell ref="A1:C1"/>
    <mergeCell ref="A2:C2"/>
    <mergeCell ref="F17:G17"/>
    <mergeCell ref="C41:D41"/>
    <mergeCell ref="C50:D50"/>
    <mergeCell ref="C62:D62"/>
    <mergeCell ref="C71:D71"/>
    <mergeCell ref="C77:D7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3.25"/>
    <col customWidth="1" min="7" max="7" width="15.25"/>
  </cols>
  <sheetData>
    <row r="1">
      <c r="A1" s="124"/>
      <c r="D1" s="89"/>
      <c r="E1" s="89"/>
      <c r="F1" s="89"/>
      <c r="G1" s="89"/>
      <c r="H1" s="89"/>
      <c r="I1" s="89"/>
      <c r="J1" s="89"/>
      <c r="K1" s="7"/>
      <c r="L1" s="7"/>
      <c r="M1" s="8" t="s">
        <v>120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91" t="s">
        <v>158</v>
      </c>
      <c r="D2" s="7"/>
      <c r="E2" s="7"/>
      <c r="F2" s="7"/>
      <c r="G2" s="7"/>
      <c r="H2" s="7"/>
      <c r="I2" s="7"/>
      <c r="J2" s="7"/>
      <c r="K2" s="7"/>
      <c r="L2" s="7"/>
      <c r="M2" s="8" t="s">
        <v>120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94" t="s">
        <v>160</v>
      </c>
      <c r="C3" s="7"/>
      <c r="D3" s="7"/>
      <c r="E3" s="7"/>
      <c r="F3" s="7"/>
      <c r="G3" s="7"/>
      <c r="H3" s="7"/>
      <c r="I3" s="7"/>
      <c r="J3" s="7"/>
      <c r="K3" s="7"/>
      <c r="L3" s="7"/>
      <c r="M3" s="53" t="s">
        <v>121</v>
      </c>
      <c r="N3" s="95" t="s">
        <v>122</v>
      </c>
      <c r="O3" s="53" t="s">
        <v>161</v>
      </c>
      <c r="P3" s="53" t="s">
        <v>124</v>
      </c>
      <c r="Q3" s="53" t="s">
        <v>125</v>
      </c>
      <c r="R3" s="53" t="s">
        <v>114</v>
      </c>
      <c r="S3" s="53" t="s">
        <v>126</v>
      </c>
      <c r="T3" s="7"/>
      <c r="U3" s="7"/>
      <c r="V3" s="7"/>
      <c r="W3" s="7"/>
      <c r="X3" s="7"/>
      <c r="Y3" s="7"/>
      <c r="Z3" s="7"/>
    </row>
    <row r="4">
      <c r="A4" s="94" t="s">
        <v>166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54">
        <v>1.0</v>
      </c>
      <c r="N4" s="103">
        <v>45965.0</v>
      </c>
      <c r="O4" s="54">
        <v>1844.44</v>
      </c>
      <c r="P4" s="54">
        <v>1844.44</v>
      </c>
      <c r="Q4" s="54">
        <v>0.0</v>
      </c>
      <c r="R4" s="54">
        <v>166000.0</v>
      </c>
      <c r="S4" s="54">
        <v>164155.6</v>
      </c>
      <c r="T4" s="7"/>
      <c r="U4" s="7"/>
      <c r="V4" s="7"/>
      <c r="W4" s="7"/>
      <c r="X4" s="7"/>
      <c r="Y4" s="7"/>
      <c r="Z4" s="7"/>
    </row>
    <row r="5">
      <c r="A5" s="7"/>
      <c r="B5" s="7"/>
      <c r="C5" s="101" t="s">
        <v>57</v>
      </c>
      <c r="D5" s="102" t="s">
        <v>167</v>
      </c>
      <c r="E5" s="30"/>
      <c r="F5" s="7"/>
      <c r="G5" s="7"/>
      <c r="H5" s="7"/>
      <c r="I5" s="7"/>
      <c r="J5" s="7"/>
      <c r="K5" s="7"/>
      <c r="L5" s="7"/>
      <c r="M5" s="54">
        <v>2.0</v>
      </c>
      <c r="N5" s="103">
        <v>45995.0</v>
      </c>
      <c r="O5" s="54">
        <v>1844.44</v>
      </c>
      <c r="P5" s="54">
        <v>1844.44</v>
      </c>
      <c r="Q5" s="54">
        <v>0.0</v>
      </c>
      <c r="R5" s="54">
        <v>164155.6</v>
      </c>
      <c r="S5" s="54">
        <v>162311.1</v>
      </c>
      <c r="T5" s="7"/>
      <c r="U5" s="7"/>
      <c r="V5" s="7"/>
      <c r="W5" s="7"/>
      <c r="X5" s="7"/>
      <c r="Y5" s="7"/>
      <c r="Z5" s="7"/>
    </row>
    <row r="6">
      <c r="A6" s="92" t="s">
        <v>0</v>
      </c>
      <c r="B6" s="92" t="s">
        <v>1</v>
      </c>
      <c r="C6" s="92" t="s">
        <v>2</v>
      </c>
      <c r="D6" s="92" t="s">
        <v>3</v>
      </c>
      <c r="E6" s="92" t="s">
        <v>4</v>
      </c>
      <c r="F6" s="92" t="s">
        <v>5</v>
      </c>
      <c r="G6" s="92" t="s">
        <v>6</v>
      </c>
      <c r="H6" s="105" t="s">
        <v>7</v>
      </c>
      <c r="I6" s="9" t="s">
        <v>8</v>
      </c>
      <c r="J6" s="7"/>
      <c r="K6" s="7"/>
      <c r="L6" s="7"/>
      <c r="M6" s="54">
        <v>3.0</v>
      </c>
      <c r="N6" s="103" t="s">
        <v>168</v>
      </c>
      <c r="O6" s="54">
        <v>1844.44</v>
      </c>
      <c r="P6" s="54">
        <v>1844.44</v>
      </c>
      <c r="Q6" s="54">
        <v>0.0</v>
      </c>
      <c r="R6" s="54">
        <v>162311.1</v>
      </c>
      <c r="S6" s="54">
        <v>160466.7</v>
      </c>
      <c r="T6" s="7"/>
      <c r="U6" s="7"/>
      <c r="V6" s="7"/>
      <c r="W6" s="7"/>
      <c r="X6" s="7"/>
      <c r="Y6" s="7"/>
      <c r="Z6" s="7"/>
    </row>
    <row r="7">
      <c r="A7" s="106">
        <v>1.0</v>
      </c>
      <c r="B7" s="106" t="s">
        <v>9</v>
      </c>
      <c r="C7" s="106" t="s">
        <v>10</v>
      </c>
      <c r="D7" s="106" t="s">
        <v>169</v>
      </c>
      <c r="E7" s="106" t="s">
        <v>12</v>
      </c>
      <c r="F7" s="106" t="s">
        <v>13</v>
      </c>
      <c r="G7" s="106" t="s">
        <v>170</v>
      </c>
      <c r="H7" s="108">
        <v>166000.0</v>
      </c>
      <c r="I7" s="106">
        <v>100053.0</v>
      </c>
      <c r="J7" s="7"/>
      <c r="K7" s="7"/>
      <c r="L7" s="7"/>
      <c r="M7" s="54">
        <v>4.0</v>
      </c>
      <c r="N7" s="103" t="s">
        <v>171</v>
      </c>
      <c r="O7" s="54">
        <v>1844.44</v>
      </c>
      <c r="P7" s="54">
        <v>1844.44</v>
      </c>
      <c r="Q7" s="54">
        <v>0.0</v>
      </c>
      <c r="R7" s="54">
        <v>160466.7</v>
      </c>
      <c r="S7" s="54">
        <v>158622.2</v>
      </c>
      <c r="T7" s="7"/>
      <c r="U7" s="7"/>
      <c r="V7" s="7"/>
      <c r="W7" s="7"/>
      <c r="X7" s="7"/>
      <c r="Y7" s="7"/>
      <c r="Z7" s="7"/>
    </row>
    <row r="8">
      <c r="A8" s="106">
        <v>1.0</v>
      </c>
      <c r="B8" s="106" t="s">
        <v>9</v>
      </c>
      <c r="C8" s="106" t="s">
        <v>10</v>
      </c>
      <c r="D8" s="106" t="s">
        <v>195</v>
      </c>
      <c r="E8" s="106" t="s">
        <v>18</v>
      </c>
      <c r="F8" s="106" t="s">
        <v>19</v>
      </c>
      <c r="G8" s="106" t="s">
        <v>263</v>
      </c>
      <c r="H8" s="108">
        <v>16600.0</v>
      </c>
      <c r="I8" s="106">
        <v>300012.0</v>
      </c>
      <c r="J8" s="7"/>
      <c r="K8" s="7"/>
      <c r="L8" s="7"/>
      <c r="M8" s="54">
        <v>5.0</v>
      </c>
      <c r="N8" s="103" t="s">
        <v>174</v>
      </c>
      <c r="O8" s="54">
        <v>1844.44</v>
      </c>
      <c r="P8" s="54">
        <v>1844.44</v>
      </c>
      <c r="Q8" s="54">
        <v>0.0</v>
      </c>
      <c r="R8" s="54">
        <v>158622.2</v>
      </c>
      <c r="S8" s="54">
        <v>156777.8</v>
      </c>
      <c r="T8" s="7"/>
      <c r="U8" s="7"/>
      <c r="V8" s="7"/>
      <c r="W8" s="7"/>
      <c r="X8" s="7"/>
      <c r="Y8" s="7"/>
      <c r="Z8" s="7"/>
    </row>
    <row r="9">
      <c r="A9" s="106">
        <v>1.0</v>
      </c>
      <c r="B9" s="106" t="s">
        <v>9</v>
      </c>
      <c r="C9" s="106" t="s">
        <v>10</v>
      </c>
      <c r="D9" s="106" t="s">
        <v>36</v>
      </c>
      <c r="E9" s="106" t="s">
        <v>22</v>
      </c>
      <c r="F9" s="106" t="s">
        <v>19</v>
      </c>
      <c r="G9" s="106" t="s">
        <v>175</v>
      </c>
      <c r="H9" s="108">
        <v>830.0</v>
      </c>
      <c r="I9" s="106">
        <v>200065.0</v>
      </c>
      <c r="J9" s="7"/>
      <c r="K9" s="7"/>
      <c r="L9" s="7"/>
      <c r="M9" s="54">
        <v>6.0</v>
      </c>
      <c r="N9" s="103" t="s">
        <v>176</v>
      </c>
      <c r="O9" s="54">
        <v>1844.44</v>
      </c>
      <c r="P9" s="54">
        <v>1844.44</v>
      </c>
      <c r="Q9" s="54">
        <v>0.0</v>
      </c>
      <c r="R9" s="54">
        <v>156777.8</v>
      </c>
      <c r="S9" s="54">
        <v>154933.4</v>
      </c>
      <c r="T9" s="7"/>
      <c r="U9" s="7"/>
      <c r="V9" s="7"/>
      <c r="W9" s="7"/>
      <c r="X9" s="7"/>
      <c r="Y9" s="7"/>
      <c r="Z9" s="7"/>
    </row>
    <row r="10">
      <c r="A10" s="106">
        <v>1.0</v>
      </c>
      <c r="B10" s="106" t="s">
        <v>9</v>
      </c>
      <c r="C10" s="106" t="s">
        <v>10</v>
      </c>
      <c r="D10" s="106" t="s">
        <v>181</v>
      </c>
      <c r="E10" s="106" t="s">
        <v>22</v>
      </c>
      <c r="F10" s="106" t="s">
        <v>19</v>
      </c>
      <c r="G10" s="106" t="s">
        <v>23</v>
      </c>
      <c r="H10" s="108">
        <v>148570.0</v>
      </c>
      <c r="I10" s="106">
        <v>200043.0</v>
      </c>
      <c r="J10" s="7"/>
      <c r="K10" s="7"/>
      <c r="L10" s="7"/>
      <c r="M10" s="54">
        <v>7.0</v>
      </c>
      <c r="N10" s="103" t="s">
        <v>179</v>
      </c>
      <c r="O10" s="54">
        <v>1844.44</v>
      </c>
      <c r="P10" s="54">
        <v>1844.44</v>
      </c>
      <c r="Q10" s="54">
        <v>0.0</v>
      </c>
      <c r="R10" s="54">
        <v>154933.4</v>
      </c>
      <c r="S10" s="54">
        <v>153088.9</v>
      </c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54">
        <v>8.0</v>
      </c>
      <c r="N11" s="103" t="s">
        <v>180</v>
      </c>
      <c r="O11" s="54">
        <v>1844.44</v>
      </c>
      <c r="P11" s="54">
        <v>1844.44</v>
      </c>
      <c r="Q11" s="54">
        <v>0.0</v>
      </c>
      <c r="R11" s="54">
        <v>153088.9</v>
      </c>
      <c r="S11" s="54">
        <v>151244.5</v>
      </c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54">
        <v>9.0</v>
      </c>
      <c r="N12" s="103" t="s">
        <v>182</v>
      </c>
      <c r="O12" s="54">
        <v>1844.44</v>
      </c>
      <c r="P12" s="54">
        <v>1844.44</v>
      </c>
      <c r="Q12" s="54">
        <v>0.0</v>
      </c>
      <c r="R12" s="54">
        <v>151244.5</v>
      </c>
      <c r="S12" s="54">
        <v>149400.0</v>
      </c>
      <c r="T12" s="7"/>
      <c r="U12" s="7"/>
      <c r="V12" s="7"/>
      <c r="W12" s="7"/>
      <c r="X12" s="7"/>
      <c r="Y12" s="7"/>
      <c r="Z12" s="7"/>
    </row>
    <row r="13">
      <c r="A13" s="94" t="s">
        <v>39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54">
        <v>10.0</v>
      </c>
      <c r="N13" s="103" t="s">
        <v>183</v>
      </c>
      <c r="O13" s="54">
        <v>1844.44</v>
      </c>
      <c r="P13" s="54">
        <v>1844.44</v>
      </c>
      <c r="Q13" s="54">
        <v>0.0</v>
      </c>
      <c r="R13" s="54">
        <v>149400.0</v>
      </c>
      <c r="S13" s="54">
        <v>147555.6</v>
      </c>
      <c r="T13" s="7"/>
      <c r="U13" s="7"/>
      <c r="V13" s="7"/>
      <c r="W13" s="7"/>
      <c r="X13" s="7"/>
      <c r="Y13" s="7"/>
      <c r="Z13" s="7"/>
    </row>
    <row r="14">
      <c r="A14" s="7"/>
      <c r="B14" s="7"/>
      <c r="C14" s="101" t="s">
        <v>57</v>
      </c>
      <c r="D14" s="102" t="s">
        <v>58</v>
      </c>
      <c r="E14" s="30"/>
      <c r="F14" s="34" t="s">
        <v>187</v>
      </c>
      <c r="H14" s="7"/>
      <c r="I14" s="7"/>
      <c r="J14" s="7"/>
      <c r="K14" s="7"/>
      <c r="L14" s="7"/>
      <c r="M14" s="54">
        <v>11.0</v>
      </c>
      <c r="N14" s="103" t="s">
        <v>184</v>
      </c>
      <c r="O14" s="54">
        <v>1844.44</v>
      </c>
      <c r="P14" s="54">
        <v>1844.44</v>
      </c>
      <c r="Q14" s="54">
        <v>0.0</v>
      </c>
      <c r="R14" s="54">
        <v>147555.6</v>
      </c>
      <c r="S14" s="54">
        <v>145711.2</v>
      </c>
      <c r="T14" s="7"/>
      <c r="U14" s="7"/>
      <c r="V14" s="7"/>
      <c r="W14" s="7"/>
      <c r="X14" s="7"/>
      <c r="Y14" s="7"/>
      <c r="Z14" s="7"/>
    </row>
    <row r="15">
      <c r="A15" s="92" t="s">
        <v>0</v>
      </c>
      <c r="B15" s="92" t="s">
        <v>1</v>
      </c>
      <c r="C15" s="92" t="s">
        <v>2</v>
      </c>
      <c r="D15" s="92" t="s">
        <v>3</v>
      </c>
      <c r="E15" s="92" t="s">
        <v>4</v>
      </c>
      <c r="F15" s="92" t="s">
        <v>5</v>
      </c>
      <c r="G15" s="92" t="s">
        <v>6</v>
      </c>
      <c r="H15" s="105" t="s">
        <v>7</v>
      </c>
      <c r="I15" s="9" t="s">
        <v>8</v>
      </c>
      <c r="J15" s="7"/>
      <c r="K15" s="7"/>
      <c r="L15" s="7"/>
      <c r="M15" s="54">
        <v>12.0</v>
      </c>
      <c r="N15" s="103" t="s">
        <v>185</v>
      </c>
      <c r="O15" s="54">
        <v>1844.44</v>
      </c>
      <c r="P15" s="54">
        <v>1844.44</v>
      </c>
      <c r="Q15" s="54">
        <v>0.0</v>
      </c>
      <c r="R15" s="54">
        <v>145711.2</v>
      </c>
      <c r="S15" s="54">
        <v>143866.7</v>
      </c>
      <c r="T15" s="7"/>
      <c r="U15" s="7"/>
      <c r="V15" s="7"/>
      <c r="W15" s="7"/>
      <c r="X15" s="7"/>
      <c r="Y15" s="7"/>
      <c r="Z15" s="7"/>
    </row>
    <row r="16">
      <c r="A16" s="106">
        <v>2.0</v>
      </c>
      <c r="B16" s="106" t="s">
        <v>9</v>
      </c>
      <c r="C16" s="106" t="s">
        <v>10</v>
      </c>
      <c r="D16" s="106" t="s">
        <v>181</v>
      </c>
      <c r="E16" s="106" t="s">
        <v>22</v>
      </c>
      <c r="F16" s="106" t="s">
        <v>13</v>
      </c>
      <c r="G16" s="106" t="s">
        <v>23</v>
      </c>
      <c r="H16" s="108">
        <v>148570.0</v>
      </c>
      <c r="I16" s="106">
        <v>200043.0</v>
      </c>
      <c r="J16" s="7"/>
      <c r="K16" s="7"/>
      <c r="L16" s="7"/>
      <c r="M16" s="54">
        <v>13.0</v>
      </c>
      <c r="N16" s="103" t="s">
        <v>186</v>
      </c>
      <c r="O16" s="54">
        <v>1844.44</v>
      </c>
      <c r="P16" s="54">
        <v>1844.44</v>
      </c>
      <c r="Q16" s="54">
        <v>0.0</v>
      </c>
      <c r="R16" s="54">
        <v>143866.7</v>
      </c>
      <c r="S16" s="54">
        <v>142022.3</v>
      </c>
      <c r="T16" s="7"/>
      <c r="U16" s="7"/>
      <c r="V16" s="7"/>
      <c r="W16" s="7"/>
      <c r="X16" s="7"/>
      <c r="Y16" s="7"/>
      <c r="Z16" s="7"/>
    </row>
    <row r="17">
      <c r="A17" s="106">
        <v>2.0</v>
      </c>
      <c r="B17" s="106" t="s">
        <v>9</v>
      </c>
      <c r="C17" s="106" t="s">
        <v>10</v>
      </c>
      <c r="D17" s="106" t="s">
        <v>60</v>
      </c>
      <c r="E17" s="106" t="s">
        <v>61</v>
      </c>
      <c r="F17" s="106" t="s">
        <v>19</v>
      </c>
      <c r="G17" s="106" t="s">
        <v>62</v>
      </c>
      <c r="H17" s="108">
        <v>148570.0</v>
      </c>
      <c r="I17" s="106">
        <v>100003.0</v>
      </c>
      <c r="J17" s="7"/>
      <c r="K17" s="7"/>
      <c r="L17" s="7"/>
      <c r="M17" s="54">
        <v>14.0</v>
      </c>
      <c r="N17" s="103" t="s">
        <v>188</v>
      </c>
      <c r="O17" s="54">
        <v>1844.44</v>
      </c>
      <c r="P17" s="54">
        <v>1844.44</v>
      </c>
      <c r="Q17" s="54">
        <v>0.0</v>
      </c>
      <c r="R17" s="54">
        <v>142022.3</v>
      </c>
      <c r="S17" s="54">
        <v>140177.8</v>
      </c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54">
        <v>15.0</v>
      </c>
      <c r="N18" s="103" t="s">
        <v>189</v>
      </c>
      <c r="O18" s="54">
        <v>1844.44</v>
      </c>
      <c r="P18" s="54">
        <v>1844.44</v>
      </c>
      <c r="Q18" s="54">
        <v>0.0</v>
      </c>
      <c r="R18" s="54">
        <v>140177.8</v>
      </c>
      <c r="S18" s="54">
        <v>138333.4</v>
      </c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54">
        <v>16.0</v>
      </c>
      <c r="N19" s="103" t="s">
        <v>190</v>
      </c>
      <c r="O19" s="54">
        <v>1844.44</v>
      </c>
      <c r="P19" s="54">
        <v>1844.44</v>
      </c>
      <c r="Q19" s="54">
        <v>0.0</v>
      </c>
      <c r="R19" s="54">
        <v>138333.4</v>
      </c>
      <c r="S19" s="54">
        <v>136489.0</v>
      </c>
      <c r="T19" s="7"/>
      <c r="U19" s="7"/>
      <c r="V19" s="7"/>
      <c r="W19" s="7"/>
      <c r="X19" s="7"/>
      <c r="Y19" s="7"/>
      <c r="Z19" s="7"/>
    </row>
    <row r="20">
      <c r="A20" s="43" t="s">
        <v>206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54">
        <v>17.0</v>
      </c>
      <c r="N20" s="103" t="s">
        <v>191</v>
      </c>
      <c r="O20" s="54">
        <v>1844.44</v>
      </c>
      <c r="P20" s="54">
        <v>1844.44</v>
      </c>
      <c r="Q20" s="54">
        <v>0.0</v>
      </c>
      <c r="R20" s="54">
        <v>136489.0</v>
      </c>
      <c r="S20" s="54">
        <v>134644.5</v>
      </c>
      <c r="T20" s="7"/>
      <c r="U20" s="7"/>
      <c r="V20" s="7"/>
      <c r="W20" s="7"/>
      <c r="X20" s="7"/>
      <c r="Y20" s="7"/>
      <c r="Z20" s="7"/>
    </row>
    <row r="21">
      <c r="A21" s="7"/>
      <c r="B21" s="101" t="s">
        <v>57</v>
      </c>
      <c r="C21" s="102" t="s">
        <v>86</v>
      </c>
      <c r="E21" s="34" t="s">
        <v>187</v>
      </c>
      <c r="F21" s="7"/>
      <c r="G21" s="7"/>
      <c r="H21" s="7"/>
      <c r="I21" s="89"/>
      <c r="J21" s="7"/>
      <c r="K21" s="7"/>
      <c r="L21" s="7"/>
      <c r="M21" s="54">
        <v>18.0</v>
      </c>
      <c r="N21" s="103" t="s">
        <v>264</v>
      </c>
      <c r="O21" s="54">
        <v>1844.44</v>
      </c>
      <c r="P21" s="54">
        <v>1844.44</v>
      </c>
      <c r="Q21" s="54">
        <v>0.0</v>
      </c>
      <c r="R21" s="54">
        <v>134644.5</v>
      </c>
      <c r="S21" s="54">
        <v>132800.1</v>
      </c>
      <c r="T21" s="7"/>
      <c r="U21" s="7"/>
      <c r="V21" s="7"/>
      <c r="W21" s="7"/>
      <c r="X21" s="7"/>
      <c r="Y21" s="7"/>
      <c r="Z21" s="7"/>
    </row>
    <row r="22">
      <c r="A22" s="92" t="s">
        <v>0</v>
      </c>
      <c r="B22" s="92" t="s">
        <v>1</v>
      </c>
      <c r="C22" s="92" t="s">
        <v>2</v>
      </c>
      <c r="D22" s="92" t="s">
        <v>3</v>
      </c>
      <c r="E22" s="92" t="s">
        <v>4</v>
      </c>
      <c r="F22" s="92" t="s">
        <v>5</v>
      </c>
      <c r="G22" s="92" t="s">
        <v>6</v>
      </c>
      <c r="H22" s="92" t="s">
        <v>7</v>
      </c>
      <c r="I22" s="9" t="s">
        <v>8</v>
      </c>
      <c r="J22" s="7"/>
      <c r="K22" s="7"/>
      <c r="L22" s="7"/>
      <c r="M22" s="54">
        <v>19.0</v>
      </c>
      <c r="N22" s="103" t="s">
        <v>193</v>
      </c>
      <c r="O22" s="54">
        <v>1844.44</v>
      </c>
      <c r="P22" s="54">
        <v>1844.44</v>
      </c>
      <c r="Q22" s="54">
        <v>0.0</v>
      </c>
      <c r="R22" s="54">
        <v>132800.1</v>
      </c>
      <c r="S22" s="54">
        <v>130955.6</v>
      </c>
      <c r="T22" s="7"/>
      <c r="U22" s="7"/>
      <c r="V22" s="7"/>
      <c r="W22" s="7"/>
      <c r="X22" s="7"/>
      <c r="Y22" s="7"/>
      <c r="Z22" s="7"/>
    </row>
    <row r="23">
      <c r="A23" s="106">
        <v>3.0</v>
      </c>
      <c r="B23" s="106" t="s">
        <v>52</v>
      </c>
      <c r="C23" s="106" t="s">
        <v>10</v>
      </c>
      <c r="D23" s="106" t="s">
        <v>79</v>
      </c>
      <c r="E23" s="106" t="s">
        <v>12</v>
      </c>
      <c r="F23" s="106" t="s">
        <v>13</v>
      </c>
      <c r="G23" s="106" t="s">
        <v>90</v>
      </c>
      <c r="H23" s="106">
        <v>1844.44</v>
      </c>
      <c r="I23" s="106">
        <v>100062.0</v>
      </c>
      <c r="J23" s="7"/>
      <c r="K23" s="7"/>
      <c r="L23" s="7"/>
      <c r="M23" s="54">
        <v>20.0</v>
      </c>
      <c r="N23" s="103" t="s">
        <v>118</v>
      </c>
      <c r="O23" s="54">
        <v>1844.44</v>
      </c>
      <c r="P23" s="54">
        <v>1844.44</v>
      </c>
      <c r="Q23" s="54">
        <v>0.0</v>
      </c>
      <c r="R23" s="54">
        <v>130955.6</v>
      </c>
      <c r="S23" s="54">
        <v>129111.2</v>
      </c>
      <c r="T23" s="7"/>
      <c r="U23" s="7"/>
      <c r="V23" s="7"/>
      <c r="W23" s="7"/>
      <c r="X23" s="7"/>
      <c r="Y23" s="7"/>
      <c r="Z23" s="7"/>
    </row>
    <row r="24">
      <c r="A24" s="106">
        <v>3.0</v>
      </c>
      <c r="B24" s="106" t="s">
        <v>52</v>
      </c>
      <c r="C24" s="106" t="s">
        <v>10</v>
      </c>
      <c r="D24" s="106" t="s">
        <v>169</v>
      </c>
      <c r="E24" s="106" t="s">
        <v>12</v>
      </c>
      <c r="F24" s="106" t="s">
        <v>19</v>
      </c>
      <c r="G24" s="106" t="s">
        <v>170</v>
      </c>
      <c r="H24" s="106">
        <v>1844.44</v>
      </c>
      <c r="I24" s="106">
        <v>100053.0</v>
      </c>
      <c r="J24" s="7"/>
      <c r="K24" s="7"/>
      <c r="L24" s="7"/>
      <c r="M24" s="54">
        <v>21.0</v>
      </c>
      <c r="N24" s="103">
        <v>45662.0</v>
      </c>
      <c r="O24" s="54">
        <v>1844.44</v>
      </c>
      <c r="P24" s="54">
        <v>1844.44</v>
      </c>
      <c r="Q24" s="54">
        <v>0.0</v>
      </c>
      <c r="R24" s="54">
        <v>129111.2</v>
      </c>
      <c r="S24" s="54">
        <v>127266.8</v>
      </c>
      <c r="T24" s="7"/>
      <c r="U24" s="7"/>
      <c r="V24" s="7"/>
      <c r="W24" s="7"/>
      <c r="X24" s="7"/>
      <c r="Y24" s="7"/>
      <c r="Z24" s="7"/>
    </row>
    <row r="25">
      <c r="A25" s="94" t="s">
        <v>215</v>
      </c>
      <c r="B25" s="43" t="s">
        <v>216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54">
        <v>22.0</v>
      </c>
      <c r="N25" s="103">
        <v>45693.0</v>
      </c>
      <c r="O25" s="54">
        <v>1844.44</v>
      </c>
      <c r="P25" s="54">
        <v>1844.44</v>
      </c>
      <c r="Q25" s="54">
        <v>0.0</v>
      </c>
      <c r="R25" s="54">
        <v>127266.8</v>
      </c>
      <c r="S25" s="54">
        <v>125422.3</v>
      </c>
      <c r="T25" s="7"/>
      <c r="U25" s="7"/>
      <c r="V25" s="7"/>
      <c r="W25" s="7"/>
      <c r="X25" s="7"/>
      <c r="Y25" s="7"/>
      <c r="Z25" s="7"/>
    </row>
    <row r="26">
      <c r="A26" s="8" t="s">
        <v>219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54">
        <v>23.0</v>
      </c>
      <c r="N26" s="103">
        <v>45721.0</v>
      </c>
      <c r="O26" s="54">
        <v>1844.44</v>
      </c>
      <c r="P26" s="54">
        <v>1844.44</v>
      </c>
      <c r="Q26" s="54">
        <v>0.0</v>
      </c>
      <c r="R26" s="54">
        <v>125422.3</v>
      </c>
      <c r="S26" s="54">
        <v>123577.9</v>
      </c>
      <c r="T26" s="7"/>
      <c r="U26" s="7"/>
      <c r="V26" s="7"/>
      <c r="W26" s="7"/>
      <c r="X26" s="7"/>
      <c r="Y26" s="7"/>
      <c r="Z26" s="7"/>
    </row>
    <row r="27">
      <c r="A27" s="7"/>
      <c r="B27" s="101" t="s">
        <v>57</v>
      </c>
      <c r="C27" s="102" t="s">
        <v>86</v>
      </c>
      <c r="E27" s="34" t="s">
        <v>187</v>
      </c>
      <c r="F27" s="7"/>
      <c r="G27" s="7"/>
      <c r="H27" s="7"/>
      <c r="I27" s="89"/>
      <c r="J27" s="7"/>
      <c r="K27" s="7"/>
      <c r="L27" s="7"/>
      <c r="M27" s="54">
        <v>24.0</v>
      </c>
      <c r="N27" s="103">
        <v>45752.0</v>
      </c>
      <c r="O27" s="54">
        <v>1844.44</v>
      </c>
      <c r="P27" s="54">
        <v>1844.44</v>
      </c>
      <c r="Q27" s="54">
        <v>0.0</v>
      </c>
      <c r="R27" s="54">
        <v>123577.9</v>
      </c>
      <c r="S27" s="54">
        <v>121733.4</v>
      </c>
      <c r="T27" s="7"/>
      <c r="U27" s="7"/>
      <c r="V27" s="7"/>
      <c r="W27" s="7"/>
      <c r="X27" s="7"/>
      <c r="Y27" s="7"/>
      <c r="Z27" s="7"/>
    </row>
    <row r="28">
      <c r="A28" s="92" t="s">
        <v>0</v>
      </c>
      <c r="B28" s="92" t="s">
        <v>1</v>
      </c>
      <c r="C28" s="92" t="s">
        <v>2</v>
      </c>
      <c r="D28" s="92" t="s">
        <v>3</v>
      </c>
      <c r="E28" s="92" t="s">
        <v>4</v>
      </c>
      <c r="F28" s="92" t="s">
        <v>5</v>
      </c>
      <c r="G28" s="92" t="s">
        <v>6</v>
      </c>
      <c r="H28" s="92" t="s">
        <v>7</v>
      </c>
      <c r="I28" s="9" t="s">
        <v>8</v>
      </c>
      <c r="J28" s="7"/>
      <c r="K28" s="7"/>
      <c r="L28" s="7"/>
      <c r="M28" s="54">
        <v>25.0</v>
      </c>
      <c r="N28" s="103">
        <v>45782.0</v>
      </c>
      <c r="O28" s="54">
        <v>1844.44</v>
      </c>
      <c r="P28" s="54">
        <v>1844.44</v>
      </c>
      <c r="Q28" s="54">
        <v>0.0</v>
      </c>
      <c r="R28" s="54">
        <v>121733.4</v>
      </c>
      <c r="S28" s="54">
        <v>119889.0</v>
      </c>
      <c r="T28" s="7"/>
      <c r="U28" s="7"/>
      <c r="V28" s="7"/>
      <c r="W28" s="7"/>
      <c r="X28" s="7"/>
      <c r="Y28" s="7"/>
      <c r="Z28" s="7"/>
    </row>
    <row r="29">
      <c r="A29" s="106">
        <v>3.0</v>
      </c>
      <c r="B29" s="106" t="s">
        <v>52</v>
      </c>
      <c r="C29" s="106" t="s">
        <v>10</v>
      </c>
      <c r="D29" s="106" t="s">
        <v>79</v>
      </c>
      <c r="E29" s="106" t="s">
        <v>12</v>
      </c>
      <c r="F29" s="106" t="s">
        <v>13</v>
      </c>
      <c r="G29" s="106" t="s">
        <v>90</v>
      </c>
      <c r="H29" s="106">
        <v>1844.44</v>
      </c>
      <c r="I29" s="106">
        <v>100062.0</v>
      </c>
      <c r="J29" s="7"/>
      <c r="K29" s="7"/>
      <c r="L29" s="7"/>
      <c r="M29" s="54">
        <v>26.0</v>
      </c>
      <c r="N29" s="103">
        <v>45813.0</v>
      </c>
      <c r="O29" s="54">
        <v>1844.44</v>
      </c>
      <c r="P29" s="54">
        <v>1844.44</v>
      </c>
      <c r="Q29" s="54">
        <v>0.0</v>
      </c>
      <c r="R29" s="54">
        <v>119889.0</v>
      </c>
      <c r="S29" s="54">
        <v>118044.6</v>
      </c>
      <c r="T29" s="7"/>
      <c r="U29" s="7"/>
      <c r="V29" s="7"/>
      <c r="W29" s="7"/>
      <c r="X29" s="7"/>
      <c r="Y29" s="7"/>
      <c r="Z29" s="7"/>
    </row>
    <row r="30">
      <c r="A30" s="106">
        <v>3.0</v>
      </c>
      <c r="B30" s="106" t="s">
        <v>52</v>
      </c>
      <c r="C30" s="106" t="s">
        <v>10</v>
      </c>
      <c r="D30" s="106" t="s">
        <v>169</v>
      </c>
      <c r="E30" s="106" t="s">
        <v>12</v>
      </c>
      <c r="F30" s="106" t="s">
        <v>19</v>
      </c>
      <c r="G30" s="106" t="s">
        <v>170</v>
      </c>
      <c r="H30" s="106">
        <v>1844.44</v>
      </c>
      <c r="I30" s="106">
        <v>100053.0</v>
      </c>
      <c r="J30" s="7"/>
      <c r="K30" s="7"/>
      <c r="L30" s="7"/>
      <c r="M30" s="54">
        <v>27.0</v>
      </c>
      <c r="N30" s="103">
        <v>45843.0</v>
      </c>
      <c r="O30" s="54">
        <v>1844.44</v>
      </c>
      <c r="P30" s="54">
        <v>1844.44</v>
      </c>
      <c r="Q30" s="54">
        <v>0.0</v>
      </c>
      <c r="R30" s="54">
        <v>118044.6</v>
      </c>
      <c r="S30" s="54">
        <v>116200.1</v>
      </c>
      <c r="T30" s="7"/>
      <c r="U30" s="7"/>
      <c r="V30" s="7"/>
      <c r="W30" s="7"/>
      <c r="X30" s="7"/>
      <c r="Y30" s="7"/>
      <c r="Z30" s="7"/>
    </row>
    <row r="31">
      <c r="A31" s="8" t="s">
        <v>265</v>
      </c>
      <c r="B31" s="7" t="s">
        <v>266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54">
        <v>28.0</v>
      </c>
      <c r="N31" s="103">
        <v>45874.0</v>
      </c>
      <c r="O31" s="54">
        <v>1844.44</v>
      </c>
      <c r="P31" s="54">
        <v>1844.44</v>
      </c>
      <c r="Q31" s="54">
        <v>0.0</v>
      </c>
      <c r="R31" s="54">
        <v>116200.1</v>
      </c>
      <c r="S31" s="54">
        <v>114355.7</v>
      </c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54">
        <v>29.0</v>
      </c>
      <c r="N32" s="103">
        <v>45905.0</v>
      </c>
      <c r="O32" s="54">
        <v>1844.44</v>
      </c>
      <c r="P32" s="54">
        <v>1844.44</v>
      </c>
      <c r="Q32" s="54">
        <v>0.0</v>
      </c>
      <c r="R32" s="54">
        <v>114355.7</v>
      </c>
      <c r="S32" s="54">
        <v>112511.2</v>
      </c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54">
        <v>30.0</v>
      </c>
      <c r="N33" s="103">
        <v>45935.0</v>
      </c>
      <c r="O33" s="54">
        <v>1844.44</v>
      </c>
      <c r="P33" s="54">
        <v>1844.44</v>
      </c>
      <c r="Q33" s="54">
        <v>0.0</v>
      </c>
      <c r="R33" s="54">
        <v>112511.2</v>
      </c>
      <c r="S33" s="54">
        <v>110666.8</v>
      </c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54">
        <v>31.0</v>
      </c>
      <c r="N34" s="103">
        <v>45966.0</v>
      </c>
      <c r="O34" s="54">
        <v>1844.44</v>
      </c>
      <c r="P34" s="54">
        <v>1844.44</v>
      </c>
      <c r="Q34" s="54">
        <v>0.0</v>
      </c>
      <c r="R34" s="54">
        <v>110666.8</v>
      </c>
      <c r="S34" s="54">
        <v>108822.4</v>
      </c>
      <c r="T34" s="7"/>
      <c r="U34" s="7"/>
      <c r="V34" s="7"/>
      <c r="W34" s="7"/>
      <c r="X34" s="7"/>
      <c r="Y34" s="7"/>
      <c r="Z34" s="7"/>
    </row>
    <row r="35">
      <c r="A35" s="8" t="s">
        <v>225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54">
        <v>32.0</v>
      </c>
      <c r="N35" s="103">
        <v>45996.0</v>
      </c>
      <c r="O35" s="54">
        <v>1844.44</v>
      </c>
      <c r="P35" s="54">
        <v>1844.44</v>
      </c>
      <c r="Q35" s="54">
        <v>0.0</v>
      </c>
      <c r="R35" s="54">
        <v>108822.4</v>
      </c>
      <c r="S35" s="54">
        <v>106977.9</v>
      </c>
      <c r="T35" s="7"/>
      <c r="U35" s="7"/>
      <c r="V35" s="7"/>
      <c r="W35" s="7"/>
      <c r="X35" s="7"/>
      <c r="Y35" s="7"/>
      <c r="Z35" s="7"/>
    </row>
    <row r="36">
      <c r="A36" s="7"/>
      <c r="B36" s="101" t="s">
        <v>57</v>
      </c>
      <c r="C36" s="102" t="s">
        <v>86</v>
      </c>
      <c r="E36" s="34" t="s">
        <v>187</v>
      </c>
      <c r="F36" s="7"/>
      <c r="G36" s="7"/>
      <c r="H36" s="7"/>
      <c r="I36" s="89"/>
      <c r="J36" s="7"/>
      <c r="K36" s="7"/>
      <c r="L36" s="7"/>
      <c r="M36" s="54">
        <v>33.0</v>
      </c>
      <c r="N36" s="103" t="s">
        <v>201</v>
      </c>
      <c r="O36" s="54">
        <v>1844.44</v>
      </c>
      <c r="P36" s="54">
        <v>1844.44</v>
      </c>
      <c r="Q36" s="54">
        <v>0.0</v>
      </c>
      <c r="R36" s="54">
        <v>106977.9</v>
      </c>
      <c r="S36" s="54">
        <v>105133.5</v>
      </c>
      <c r="T36" s="7"/>
      <c r="U36" s="7"/>
      <c r="V36" s="7"/>
      <c r="W36" s="7"/>
      <c r="X36" s="7"/>
      <c r="Y36" s="7"/>
      <c r="Z36" s="7"/>
    </row>
    <row r="37">
      <c r="A37" s="92" t="s">
        <v>0</v>
      </c>
      <c r="B37" s="92" t="s">
        <v>1</v>
      </c>
      <c r="C37" s="92" t="s">
        <v>2</v>
      </c>
      <c r="D37" s="92" t="s">
        <v>3</v>
      </c>
      <c r="E37" s="92" t="s">
        <v>4</v>
      </c>
      <c r="F37" s="92" t="s">
        <v>5</v>
      </c>
      <c r="G37" s="92" t="s">
        <v>6</v>
      </c>
      <c r="H37" s="92" t="s">
        <v>7</v>
      </c>
      <c r="I37" s="9" t="s">
        <v>8</v>
      </c>
      <c r="J37" s="7"/>
      <c r="K37" s="7"/>
      <c r="L37" s="7"/>
      <c r="M37" s="54">
        <v>34.0</v>
      </c>
      <c r="N37" s="103" t="s">
        <v>202</v>
      </c>
      <c r="O37" s="54">
        <v>1844.44</v>
      </c>
      <c r="P37" s="54">
        <v>1844.44</v>
      </c>
      <c r="Q37" s="54">
        <v>0.0</v>
      </c>
      <c r="R37" s="54">
        <v>105133.5</v>
      </c>
      <c r="S37" s="54">
        <v>103289.0</v>
      </c>
      <c r="T37" s="7"/>
      <c r="U37" s="7"/>
      <c r="V37" s="7"/>
      <c r="W37" s="7"/>
      <c r="X37" s="7"/>
      <c r="Y37" s="7"/>
      <c r="Z37" s="7"/>
    </row>
    <row r="38">
      <c r="A38" s="106">
        <v>4.0</v>
      </c>
      <c r="B38" s="106" t="s">
        <v>52</v>
      </c>
      <c r="C38" s="106" t="s">
        <v>10</v>
      </c>
      <c r="D38" s="106" t="s">
        <v>79</v>
      </c>
      <c r="E38" s="106" t="s">
        <v>12</v>
      </c>
      <c r="F38" s="106" t="s">
        <v>13</v>
      </c>
      <c r="G38" s="106" t="s">
        <v>90</v>
      </c>
      <c r="H38" s="106">
        <v>1844.44</v>
      </c>
      <c r="I38" s="106">
        <v>100062.0</v>
      </c>
      <c r="J38" s="7"/>
      <c r="K38" s="7"/>
      <c r="L38" s="7"/>
      <c r="M38" s="54">
        <v>35.0</v>
      </c>
      <c r="N38" s="103" t="s">
        <v>203</v>
      </c>
      <c r="O38" s="54">
        <v>1844.44</v>
      </c>
      <c r="P38" s="54">
        <v>1844.44</v>
      </c>
      <c r="Q38" s="54">
        <v>0.0</v>
      </c>
      <c r="R38" s="54">
        <v>103289.0</v>
      </c>
      <c r="S38" s="54">
        <v>101444.6</v>
      </c>
      <c r="T38" s="7"/>
      <c r="U38" s="7"/>
      <c r="V38" s="7"/>
      <c r="W38" s="7"/>
      <c r="X38" s="7"/>
      <c r="Y38" s="7"/>
      <c r="Z38" s="7"/>
    </row>
    <row r="39">
      <c r="A39" s="106">
        <v>4.0</v>
      </c>
      <c r="B39" s="106" t="s">
        <v>52</v>
      </c>
      <c r="C39" s="106" t="s">
        <v>10</v>
      </c>
      <c r="D39" s="106" t="s">
        <v>169</v>
      </c>
      <c r="E39" s="106" t="s">
        <v>12</v>
      </c>
      <c r="F39" s="106" t="s">
        <v>19</v>
      </c>
      <c r="G39" s="106" t="s">
        <v>170</v>
      </c>
      <c r="H39" s="106">
        <v>1844.44</v>
      </c>
      <c r="I39" s="106">
        <v>100053.0</v>
      </c>
      <c r="J39" s="7"/>
      <c r="K39" s="7"/>
      <c r="L39" s="7"/>
      <c r="M39" s="54">
        <v>36.0</v>
      </c>
      <c r="N39" s="103" t="s">
        <v>204</v>
      </c>
      <c r="O39" s="54">
        <v>1844.44</v>
      </c>
      <c r="P39" s="54">
        <v>1844.44</v>
      </c>
      <c r="Q39" s="54">
        <v>0.0</v>
      </c>
      <c r="R39" s="54">
        <v>101444.6</v>
      </c>
      <c r="S39" s="54">
        <v>99600.16</v>
      </c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54">
        <v>37.0</v>
      </c>
      <c r="N40" s="103" t="s">
        <v>205</v>
      </c>
      <c r="O40" s="54">
        <v>1844.44</v>
      </c>
      <c r="P40" s="54">
        <v>1844.44</v>
      </c>
      <c r="Q40" s="54">
        <v>0.0</v>
      </c>
      <c r="R40" s="54">
        <v>99600.16</v>
      </c>
      <c r="S40" s="54">
        <v>97755.72</v>
      </c>
      <c r="T40" s="7"/>
      <c r="U40" s="7"/>
      <c r="V40" s="7"/>
      <c r="W40" s="7"/>
      <c r="X40" s="7"/>
      <c r="Y40" s="7"/>
      <c r="Z40" s="7"/>
    </row>
    <row r="41">
      <c r="A41" s="8" t="s">
        <v>215</v>
      </c>
      <c r="B41" s="7" t="s">
        <v>228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54">
        <v>38.0</v>
      </c>
      <c r="N41" s="103" t="s">
        <v>207</v>
      </c>
      <c r="O41" s="54">
        <v>1844.44</v>
      </c>
      <c r="P41" s="54">
        <v>1844.44</v>
      </c>
      <c r="Q41" s="54">
        <v>0.0</v>
      </c>
      <c r="R41" s="54">
        <v>97755.72</v>
      </c>
      <c r="S41" s="54">
        <v>95911.28</v>
      </c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54">
        <v>39.0</v>
      </c>
      <c r="N42" s="103" t="s">
        <v>208</v>
      </c>
      <c r="O42" s="54">
        <v>1844.44</v>
      </c>
      <c r="P42" s="54">
        <v>1844.44</v>
      </c>
      <c r="Q42" s="54">
        <v>0.0</v>
      </c>
      <c r="R42" s="54">
        <v>95911.28</v>
      </c>
      <c r="S42" s="54">
        <v>94066.84</v>
      </c>
      <c r="T42" s="7"/>
      <c r="U42" s="7"/>
      <c r="V42" s="7"/>
      <c r="W42" s="7"/>
      <c r="X42" s="7"/>
      <c r="Y42" s="7"/>
      <c r="Z42" s="7"/>
    </row>
    <row r="43">
      <c r="A43" s="8" t="s">
        <v>231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54">
        <v>40.0</v>
      </c>
      <c r="N43" s="103" t="s">
        <v>209</v>
      </c>
      <c r="O43" s="54">
        <v>1844.44</v>
      </c>
      <c r="P43" s="54">
        <v>1844.44</v>
      </c>
      <c r="Q43" s="54">
        <v>0.0</v>
      </c>
      <c r="R43" s="54">
        <v>94066.84</v>
      </c>
      <c r="S43" s="54">
        <v>92222.4</v>
      </c>
      <c r="T43" s="7"/>
      <c r="U43" s="7"/>
      <c r="V43" s="7"/>
      <c r="W43" s="7"/>
      <c r="X43" s="7"/>
      <c r="Y43" s="7"/>
      <c r="Z43" s="7"/>
    </row>
    <row r="44">
      <c r="A44" s="7"/>
      <c r="B44" s="101" t="s">
        <v>57</v>
      </c>
      <c r="C44" s="102" t="s">
        <v>86</v>
      </c>
      <c r="E44" s="34" t="s">
        <v>187</v>
      </c>
      <c r="F44" s="7"/>
      <c r="G44" s="7"/>
      <c r="H44" s="7"/>
      <c r="I44" s="89"/>
      <c r="J44" s="7"/>
      <c r="K44" s="7"/>
      <c r="L44" s="7"/>
      <c r="M44" s="54">
        <v>41.0</v>
      </c>
      <c r="N44" s="103" t="s">
        <v>211</v>
      </c>
      <c r="O44" s="54">
        <v>1844.44</v>
      </c>
      <c r="P44" s="54">
        <v>1844.44</v>
      </c>
      <c r="Q44" s="54">
        <v>0.0</v>
      </c>
      <c r="R44" s="54">
        <v>92222.4</v>
      </c>
      <c r="S44" s="54">
        <v>90377.96</v>
      </c>
      <c r="T44" s="7"/>
      <c r="U44" s="7"/>
      <c r="V44" s="7"/>
      <c r="W44" s="7"/>
      <c r="X44" s="7"/>
      <c r="Y44" s="7"/>
      <c r="Z44" s="7"/>
    </row>
    <row r="45">
      <c r="A45" s="92" t="s">
        <v>0</v>
      </c>
      <c r="B45" s="92" t="s">
        <v>1</v>
      </c>
      <c r="C45" s="92" t="s">
        <v>2</v>
      </c>
      <c r="D45" s="92" t="s">
        <v>3</v>
      </c>
      <c r="E45" s="92" t="s">
        <v>4</v>
      </c>
      <c r="F45" s="92" t="s">
        <v>5</v>
      </c>
      <c r="G45" s="92" t="s">
        <v>6</v>
      </c>
      <c r="H45" s="92" t="s">
        <v>7</v>
      </c>
      <c r="I45" s="9" t="s">
        <v>8</v>
      </c>
      <c r="J45" s="7"/>
      <c r="K45" s="7"/>
      <c r="L45" s="7"/>
      <c r="M45" s="54">
        <v>42.0</v>
      </c>
      <c r="N45" s="103" t="s">
        <v>212</v>
      </c>
      <c r="O45" s="54">
        <v>1844.44</v>
      </c>
      <c r="P45" s="54">
        <v>1844.44</v>
      </c>
      <c r="Q45" s="54">
        <v>0.0</v>
      </c>
      <c r="R45" s="54">
        <v>90377.96</v>
      </c>
      <c r="S45" s="54">
        <v>88533.52</v>
      </c>
      <c r="T45" s="7"/>
      <c r="U45" s="7"/>
      <c r="V45" s="7"/>
      <c r="W45" s="7"/>
      <c r="X45" s="7"/>
      <c r="Y45" s="7"/>
      <c r="Z45" s="7"/>
    </row>
    <row r="46">
      <c r="A46" s="106">
        <v>5.0</v>
      </c>
      <c r="B46" s="106" t="s">
        <v>52</v>
      </c>
      <c r="C46" s="106" t="s">
        <v>10</v>
      </c>
      <c r="D46" s="106" t="s">
        <v>155</v>
      </c>
      <c r="E46" s="106" t="s">
        <v>156</v>
      </c>
      <c r="F46" s="106" t="s">
        <v>13</v>
      </c>
      <c r="G46" s="106" t="s">
        <v>156</v>
      </c>
      <c r="H46" s="106">
        <v>1844.44</v>
      </c>
      <c r="I46" s="106">
        <v>400041.0</v>
      </c>
      <c r="J46" s="7"/>
      <c r="K46" s="7"/>
      <c r="L46" s="7"/>
      <c r="M46" s="54">
        <v>43.0</v>
      </c>
      <c r="N46" s="103" t="s">
        <v>213</v>
      </c>
      <c r="O46" s="54">
        <v>1844.44</v>
      </c>
      <c r="P46" s="54">
        <v>1844.44</v>
      </c>
      <c r="Q46" s="54">
        <v>0.0</v>
      </c>
      <c r="R46" s="54">
        <v>88533.52</v>
      </c>
      <c r="S46" s="54">
        <v>86689.08</v>
      </c>
      <c r="T46" s="7"/>
      <c r="U46" s="7"/>
      <c r="V46" s="7"/>
      <c r="W46" s="7"/>
      <c r="X46" s="7"/>
      <c r="Y46" s="7"/>
      <c r="Z46" s="7"/>
    </row>
    <row r="47">
      <c r="A47" s="106">
        <v>5.0</v>
      </c>
      <c r="B47" s="106" t="s">
        <v>52</v>
      </c>
      <c r="C47" s="106" t="s">
        <v>10</v>
      </c>
      <c r="D47" s="106" t="s">
        <v>169</v>
      </c>
      <c r="E47" s="106" t="s">
        <v>12</v>
      </c>
      <c r="F47" s="106" t="s">
        <v>19</v>
      </c>
      <c r="G47" s="106" t="s">
        <v>170</v>
      </c>
      <c r="H47" s="106">
        <v>1844.44</v>
      </c>
      <c r="I47" s="106">
        <v>100053.0</v>
      </c>
      <c r="J47" s="7"/>
      <c r="K47" s="7"/>
      <c r="L47" s="7"/>
      <c r="M47" s="54">
        <v>44.0</v>
      </c>
      <c r="N47" s="103" t="s">
        <v>214</v>
      </c>
      <c r="O47" s="54">
        <v>1844.44</v>
      </c>
      <c r="P47" s="54">
        <v>1844.44</v>
      </c>
      <c r="Q47" s="54">
        <v>0.0</v>
      </c>
      <c r="R47" s="54">
        <v>86689.08</v>
      </c>
      <c r="S47" s="54">
        <v>84844.64</v>
      </c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54">
        <v>45.0</v>
      </c>
      <c r="N48" s="103" t="s">
        <v>217</v>
      </c>
      <c r="O48" s="54">
        <v>1844.44</v>
      </c>
      <c r="P48" s="54">
        <v>1844.44</v>
      </c>
      <c r="Q48" s="54">
        <v>0.0</v>
      </c>
      <c r="R48" s="54">
        <v>84844.64</v>
      </c>
      <c r="S48" s="54">
        <v>83000.2</v>
      </c>
      <c r="T48" s="7"/>
      <c r="U48" s="7"/>
      <c r="V48" s="7"/>
      <c r="W48" s="7"/>
      <c r="X48" s="7"/>
      <c r="Y48" s="7"/>
      <c r="Z48" s="7"/>
    </row>
    <row r="49">
      <c r="A49" s="8" t="s">
        <v>267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54">
        <v>46.0</v>
      </c>
      <c r="N49" s="103" t="s">
        <v>218</v>
      </c>
      <c r="O49" s="54">
        <v>1844.44</v>
      </c>
      <c r="P49" s="54">
        <v>1844.44</v>
      </c>
      <c r="Q49" s="54">
        <v>0.0</v>
      </c>
      <c r="R49" s="54">
        <v>83000.2</v>
      </c>
      <c r="S49" s="54">
        <v>81155.76</v>
      </c>
      <c r="T49" s="7"/>
      <c r="U49" s="7"/>
      <c r="V49" s="7"/>
      <c r="W49" s="7"/>
      <c r="X49" s="7"/>
      <c r="Y49" s="7"/>
      <c r="Z49" s="7"/>
    </row>
    <row r="50">
      <c r="A50" s="7"/>
      <c r="B50" s="101" t="s">
        <v>57</v>
      </c>
      <c r="C50" s="102" t="s">
        <v>86</v>
      </c>
      <c r="E50" s="34" t="s">
        <v>187</v>
      </c>
      <c r="F50" s="7"/>
      <c r="G50" s="7"/>
      <c r="H50" s="7"/>
      <c r="I50" s="89"/>
      <c r="J50" s="7"/>
      <c r="K50" s="7"/>
      <c r="L50" s="7"/>
      <c r="M50" s="54">
        <v>47.0</v>
      </c>
      <c r="N50" s="103" t="s">
        <v>221</v>
      </c>
      <c r="O50" s="54">
        <v>1844.44</v>
      </c>
      <c r="P50" s="54">
        <v>1844.44</v>
      </c>
      <c r="Q50" s="54">
        <v>0.0</v>
      </c>
      <c r="R50" s="54">
        <v>81155.76</v>
      </c>
      <c r="S50" s="54">
        <v>79311.32</v>
      </c>
      <c r="T50" s="7"/>
      <c r="U50" s="7"/>
      <c r="V50" s="7"/>
      <c r="W50" s="7"/>
      <c r="X50" s="7"/>
      <c r="Y50" s="7"/>
      <c r="Z50" s="7"/>
    </row>
    <row r="51">
      <c r="A51" s="92" t="s">
        <v>0</v>
      </c>
      <c r="B51" s="92" t="s">
        <v>1</v>
      </c>
      <c r="C51" s="92" t="s">
        <v>2</v>
      </c>
      <c r="D51" s="92" t="s">
        <v>3</v>
      </c>
      <c r="E51" s="92" t="s">
        <v>4</v>
      </c>
      <c r="F51" s="92" t="s">
        <v>5</v>
      </c>
      <c r="G51" s="92" t="s">
        <v>6</v>
      </c>
      <c r="H51" s="92" t="s">
        <v>7</v>
      </c>
      <c r="I51" s="9" t="s">
        <v>8</v>
      </c>
      <c r="J51" s="7"/>
      <c r="K51" s="7"/>
      <c r="L51" s="7"/>
      <c r="M51" s="54">
        <v>48.0</v>
      </c>
      <c r="N51" s="103" t="s">
        <v>222</v>
      </c>
      <c r="O51" s="54">
        <v>1844.44</v>
      </c>
      <c r="P51" s="54">
        <v>1844.44</v>
      </c>
      <c r="Q51" s="54">
        <v>0.0</v>
      </c>
      <c r="R51" s="54">
        <v>79311.32</v>
      </c>
      <c r="S51" s="54">
        <v>77466.88</v>
      </c>
      <c r="T51" s="7"/>
      <c r="U51" s="7"/>
      <c r="V51" s="7"/>
      <c r="W51" s="7"/>
      <c r="X51" s="7"/>
      <c r="Y51" s="7"/>
      <c r="Z51" s="7"/>
    </row>
    <row r="52">
      <c r="A52" s="106">
        <v>6.0</v>
      </c>
      <c r="B52" s="106" t="s">
        <v>52</v>
      </c>
      <c r="C52" s="106" t="s">
        <v>10</v>
      </c>
      <c r="D52" s="106" t="s">
        <v>155</v>
      </c>
      <c r="E52" s="106" t="s">
        <v>156</v>
      </c>
      <c r="F52" s="106" t="s">
        <v>13</v>
      </c>
      <c r="G52" s="106" t="s">
        <v>156</v>
      </c>
      <c r="H52" s="106">
        <f t="shared" ref="H52:H53" si="1">1844.44/2</f>
        <v>922.22</v>
      </c>
      <c r="I52" s="106">
        <v>400041.0</v>
      </c>
      <c r="J52" s="7"/>
      <c r="K52" s="7"/>
      <c r="L52" s="7"/>
      <c r="M52" s="54">
        <v>49.0</v>
      </c>
      <c r="N52" s="103" t="s">
        <v>223</v>
      </c>
      <c r="O52" s="54">
        <v>1844.44</v>
      </c>
      <c r="P52" s="54">
        <v>1844.44</v>
      </c>
      <c r="Q52" s="54">
        <v>0.0</v>
      </c>
      <c r="R52" s="54">
        <v>77466.88</v>
      </c>
      <c r="S52" s="54">
        <v>75622.44</v>
      </c>
      <c r="T52" s="7"/>
      <c r="U52" s="7"/>
      <c r="V52" s="7"/>
      <c r="W52" s="7"/>
      <c r="X52" s="7"/>
      <c r="Y52" s="7"/>
      <c r="Z52" s="7"/>
    </row>
    <row r="53">
      <c r="A53" s="106">
        <v>6.0</v>
      </c>
      <c r="B53" s="106" t="s">
        <v>52</v>
      </c>
      <c r="C53" s="106" t="s">
        <v>10</v>
      </c>
      <c r="D53" s="106" t="s">
        <v>169</v>
      </c>
      <c r="E53" s="106" t="s">
        <v>12</v>
      </c>
      <c r="F53" s="106" t="s">
        <v>19</v>
      </c>
      <c r="G53" s="106" t="s">
        <v>170</v>
      </c>
      <c r="H53" s="106">
        <f t="shared" si="1"/>
        <v>922.22</v>
      </c>
      <c r="I53" s="106">
        <v>100053.0</v>
      </c>
      <c r="J53" s="7"/>
      <c r="K53" s="7"/>
      <c r="L53" s="7"/>
      <c r="M53" s="54">
        <v>50.0</v>
      </c>
      <c r="N53" s="103" t="s">
        <v>132</v>
      </c>
      <c r="O53" s="54">
        <v>1844.44</v>
      </c>
      <c r="P53" s="54">
        <v>1844.44</v>
      </c>
      <c r="Q53" s="54">
        <v>0.0</v>
      </c>
      <c r="R53" s="54">
        <v>75622.44</v>
      </c>
      <c r="S53" s="54">
        <v>73778.0</v>
      </c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54">
        <v>51.0</v>
      </c>
      <c r="N54" s="103" t="s">
        <v>139</v>
      </c>
      <c r="O54" s="54">
        <v>1844.44</v>
      </c>
      <c r="P54" s="54">
        <v>1844.44</v>
      </c>
      <c r="Q54" s="54">
        <v>0.0</v>
      </c>
      <c r="R54" s="54">
        <v>73778.0</v>
      </c>
      <c r="S54" s="54">
        <v>71933.56</v>
      </c>
      <c r="T54" s="7"/>
      <c r="U54" s="7"/>
      <c r="V54" s="7"/>
      <c r="W54" s="7"/>
      <c r="X54" s="7"/>
      <c r="Y54" s="7"/>
      <c r="Z54" s="7"/>
    </row>
    <row r="55">
      <c r="A55" s="8" t="s">
        <v>51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54">
        <v>52.0</v>
      </c>
      <c r="N55" s="103">
        <v>45663.0</v>
      </c>
      <c r="O55" s="54">
        <v>1844.44</v>
      </c>
      <c r="P55" s="54">
        <v>1844.44</v>
      </c>
      <c r="Q55" s="54">
        <v>0.0</v>
      </c>
      <c r="R55" s="54">
        <v>71933.56</v>
      </c>
      <c r="S55" s="54">
        <v>70089.12</v>
      </c>
      <c r="T55" s="7"/>
      <c r="U55" s="7"/>
      <c r="V55" s="7"/>
      <c r="W55" s="7"/>
      <c r="X55" s="7"/>
      <c r="Y55" s="7"/>
      <c r="Z55" s="7"/>
    </row>
    <row r="56">
      <c r="A56" s="9" t="s">
        <v>40</v>
      </c>
      <c r="B56" s="9" t="s">
        <v>1</v>
      </c>
      <c r="C56" s="9" t="s">
        <v>2</v>
      </c>
      <c r="D56" s="9" t="s">
        <v>3</v>
      </c>
      <c r="E56" s="20"/>
      <c r="F56" s="9" t="s">
        <v>5</v>
      </c>
      <c r="G56" s="9" t="s">
        <v>6</v>
      </c>
      <c r="H56" s="115" t="s">
        <v>7</v>
      </c>
      <c r="I56" s="9" t="s">
        <v>8</v>
      </c>
      <c r="J56" s="7"/>
      <c r="K56" s="7"/>
      <c r="L56" s="7"/>
      <c r="M56" s="54">
        <v>53.0</v>
      </c>
      <c r="N56" s="103">
        <v>45694.0</v>
      </c>
      <c r="O56" s="54">
        <v>1844.44</v>
      </c>
      <c r="P56" s="54">
        <v>1844.44</v>
      </c>
      <c r="Q56" s="54">
        <v>0.0</v>
      </c>
      <c r="R56" s="54">
        <v>70089.12</v>
      </c>
      <c r="S56" s="54">
        <v>68244.68</v>
      </c>
      <c r="T56" s="7"/>
      <c r="U56" s="7"/>
      <c r="V56" s="7"/>
      <c r="W56" s="7"/>
      <c r="X56" s="7"/>
      <c r="Y56" s="7"/>
      <c r="Z56" s="7"/>
    </row>
    <row r="57">
      <c r="A57" s="106">
        <v>7.0</v>
      </c>
      <c r="B57" s="14" t="s">
        <v>52</v>
      </c>
      <c r="C57" s="14" t="s">
        <v>10</v>
      </c>
      <c r="D57" s="14" t="s">
        <v>53</v>
      </c>
      <c r="E57" s="14" t="s">
        <v>12</v>
      </c>
      <c r="F57" s="14" t="s">
        <v>13</v>
      </c>
      <c r="G57" s="27"/>
      <c r="H57" s="16">
        <v>10000.0</v>
      </c>
      <c r="I57" s="106">
        <v>100006.0</v>
      </c>
      <c r="J57" s="7"/>
      <c r="K57" s="7"/>
      <c r="L57" s="7"/>
      <c r="M57" s="54">
        <v>54.0</v>
      </c>
      <c r="N57" s="103">
        <v>45722.0</v>
      </c>
      <c r="O57" s="54">
        <v>1844.44</v>
      </c>
      <c r="P57" s="54">
        <v>1844.44</v>
      </c>
      <c r="Q57" s="54">
        <v>0.0</v>
      </c>
      <c r="R57" s="54">
        <v>68244.68</v>
      </c>
      <c r="S57" s="54">
        <v>66400.24</v>
      </c>
      <c r="T57" s="7"/>
      <c r="U57" s="7"/>
      <c r="V57" s="7"/>
      <c r="W57" s="7"/>
      <c r="X57" s="7"/>
      <c r="Y57" s="7"/>
      <c r="Z57" s="7"/>
    </row>
    <row r="58">
      <c r="A58" s="106">
        <v>7.0</v>
      </c>
      <c r="B58" s="14" t="s">
        <v>52</v>
      </c>
      <c r="C58" s="14" t="s">
        <v>10</v>
      </c>
      <c r="D58" s="14" t="s">
        <v>245</v>
      </c>
      <c r="E58" s="14" t="s">
        <v>55</v>
      </c>
      <c r="F58" s="14" t="s">
        <v>19</v>
      </c>
      <c r="G58" s="27"/>
      <c r="H58" s="16">
        <v>10000.0</v>
      </c>
      <c r="I58" s="106">
        <v>210002.0</v>
      </c>
      <c r="J58" s="7"/>
      <c r="K58" s="7"/>
      <c r="L58" s="7"/>
      <c r="M58" s="54">
        <v>55.0</v>
      </c>
      <c r="N58" s="103">
        <v>45753.0</v>
      </c>
      <c r="O58" s="54">
        <v>1844.44</v>
      </c>
      <c r="P58" s="54">
        <v>1844.44</v>
      </c>
      <c r="Q58" s="54">
        <v>0.0</v>
      </c>
      <c r="R58" s="54">
        <v>66400.24</v>
      </c>
      <c r="S58" s="54">
        <v>64555.8</v>
      </c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54">
        <v>56.0</v>
      </c>
      <c r="N59" s="103">
        <v>45783.0</v>
      </c>
      <c r="O59" s="54">
        <v>1844.44</v>
      </c>
      <c r="P59" s="54">
        <v>1844.44</v>
      </c>
      <c r="Q59" s="54">
        <v>0.0</v>
      </c>
      <c r="R59" s="54">
        <v>64555.8</v>
      </c>
      <c r="S59" s="54">
        <v>62711.36</v>
      </c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54">
        <v>57.0</v>
      </c>
      <c r="N60" s="103">
        <v>45814.0</v>
      </c>
      <c r="O60" s="54">
        <v>1844.44</v>
      </c>
      <c r="P60" s="54">
        <v>1844.44</v>
      </c>
      <c r="Q60" s="54">
        <v>0.0</v>
      </c>
      <c r="R60" s="54">
        <v>62711.36</v>
      </c>
      <c r="S60" s="54">
        <v>60866.92</v>
      </c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54">
        <v>58.0</v>
      </c>
      <c r="N61" s="103">
        <v>45844.0</v>
      </c>
      <c r="O61" s="54">
        <v>1844.44</v>
      </c>
      <c r="P61" s="54">
        <v>1844.44</v>
      </c>
      <c r="Q61" s="54">
        <v>0.0</v>
      </c>
      <c r="R61" s="54">
        <v>60866.92</v>
      </c>
      <c r="S61" s="54">
        <v>59022.48</v>
      </c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54">
        <v>59.0</v>
      </c>
      <c r="N62" s="103">
        <v>45875.0</v>
      </c>
      <c r="O62" s="54">
        <v>1844.44</v>
      </c>
      <c r="P62" s="54">
        <v>1844.44</v>
      </c>
      <c r="Q62" s="54">
        <v>0.0</v>
      </c>
      <c r="R62" s="54">
        <v>59022.48</v>
      </c>
      <c r="S62" s="54">
        <v>57178.04</v>
      </c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54">
        <v>60.0</v>
      </c>
      <c r="N63" s="103">
        <v>45906.0</v>
      </c>
      <c r="O63" s="54">
        <v>1844.44</v>
      </c>
      <c r="P63" s="54">
        <v>1844.44</v>
      </c>
      <c r="Q63" s="54">
        <v>0.0</v>
      </c>
      <c r="R63" s="54">
        <v>57178.04</v>
      </c>
      <c r="S63" s="54">
        <v>55333.6</v>
      </c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54">
        <v>61.0</v>
      </c>
      <c r="N64" s="103">
        <v>45936.0</v>
      </c>
      <c r="O64" s="54">
        <v>1844.44</v>
      </c>
      <c r="P64" s="54">
        <v>1844.44</v>
      </c>
      <c r="Q64" s="54">
        <v>0.0</v>
      </c>
      <c r="R64" s="54">
        <v>55333.6</v>
      </c>
      <c r="S64" s="54">
        <v>53489.16</v>
      </c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54">
        <v>62.0</v>
      </c>
      <c r="N65" s="103">
        <v>45967.0</v>
      </c>
      <c r="O65" s="54">
        <v>1844.44</v>
      </c>
      <c r="P65" s="54">
        <v>1844.44</v>
      </c>
      <c r="Q65" s="54">
        <v>0.0</v>
      </c>
      <c r="R65" s="54">
        <v>53489.16</v>
      </c>
      <c r="S65" s="54">
        <v>51644.72</v>
      </c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54">
        <v>63.0</v>
      </c>
      <c r="N66" s="103">
        <v>45997.0</v>
      </c>
      <c r="O66" s="54">
        <v>1844.44</v>
      </c>
      <c r="P66" s="54">
        <v>1844.44</v>
      </c>
      <c r="Q66" s="54">
        <v>0.0</v>
      </c>
      <c r="R66" s="54">
        <v>51644.72</v>
      </c>
      <c r="S66" s="54">
        <v>49800.28</v>
      </c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54">
        <v>64.0</v>
      </c>
      <c r="N67" s="103" t="s">
        <v>226</v>
      </c>
      <c r="O67" s="54">
        <v>1844.44</v>
      </c>
      <c r="P67" s="54">
        <v>1844.44</v>
      </c>
      <c r="Q67" s="54">
        <v>0.0</v>
      </c>
      <c r="R67" s="54">
        <v>49800.28</v>
      </c>
      <c r="S67" s="54">
        <v>47955.84</v>
      </c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54">
        <v>65.0</v>
      </c>
      <c r="N68" s="103" t="s">
        <v>227</v>
      </c>
      <c r="O68" s="54">
        <v>1844.44</v>
      </c>
      <c r="P68" s="54">
        <v>1844.44</v>
      </c>
      <c r="Q68" s="54">
        <v>0.0</v>
      </c>
      <c r="R68" s="54">
        <v>47955.84</v>
      </c>
      <c r="S68" s="54">
        <v>46111.4</v>
      </c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54">
        <v>66.0</v>
      </c>
      <c r="N69" s="103" t="s">
        <v>229</v>
      </c>
      <c r="O69" s="54">
        <v>1844.44</v>
      </c>
      <c r="P69" s="54">
        <v>1844.44</v>
      </c>
      <c r="Q69" s="54">
        <v>0.0</v>
      </c>
      <c r="R69" s="54">
        <v>46111.4</v>
      </c>
      <c r="S69" s="54">
        <v>44266.96</v>
      </c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54">
        <v>67.0</v>
      </c>
      <c r="N70" s="103" t="s">
        <v>230</v>
      </c>
      <c r="O70" s="54">
        <v>1844.44</v>
      </c>
      <c r="P70" s="54">
        <v>1844.44</v>
      </c>
      <c r="Q70" s="54">
        <v>0.0</v>
      </c>
      <c r="R70" s="54">
        <v>44266.96</v>
      </c>
      <c r="S70" s="54">
        <v>42422.52</v>
      </c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54">
        <v>68.0</v>
      </c>
      <c r="N71" s="103" t="s">
        <v>232</v>
      </c>
      <c r="O71" s="54">
        <v>1844.44</v>
      </c>
      <c r="P71" s="54">
        <v>1844.44</v>
      </c>
      <c r="Q71" s="54">
        <v>0.0</v>
      </c>
      <c r="R71" s="54">
        <v>42422.52</v>
      </c>
      <c r="S71" s="54">
        <v>40578.08</v>
      </c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54">
        <v>69.0</v>
      </c>
      <c r="N72" s="103" t="s">
        <v>233</v>
      </c>
      <c r="O72" s="54">
        <v>1844.44</v>
      </c>
      <c r="P72" s="54">
        <v>1844.44</v>
      </c>
      <c r="Q72" s="54">
        <v>0.0</v>
      </c>
      <c r="R72" s="54">
        <v>40578.08</v>
      </c>
      <c r="S72" s="54">
        <v>38733.64</v>
      </c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54">
        <v>70.0</v>
      </c>
      <c r="N73" s="103" t="s">
        <v>234</v>
      </c>
      <c r="O73" s="54">
        <v>1844.44</v>
      </c>
      <c r="P73" s="54">
        <v>1844.44</v>
      </c>
      <c r="Q73" s="54">
        <v>0.0</v>
      </c>
      <c r="R73" s="54">
        <v>38733.64</v>
      </c>
      <c r="S73" s="54">
        <v>36889.2</v>
      </c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54">
        <v>71.0</v>
      </c>
      <c r="N74" s="103" t="s">
        <v>235</v>
      </c>
      <c r="O74" s="54">
        <v>1844.44</v>
      </c>
      <c r="P74" s="54">
        <v>1844.44</v>
      </c>
      <c r="Q74" s="54">
        <v>0.0</v>
      </c>
      <c r="R74" s="54">
        <v>36889.2</v>
      </c>
      <c r="S74" s="54">
        <v>35044.76</v>
      </c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54">
        <v>72.0</v>
      </c>
      <c r="N75" s="103" t="s">
        <v>236</v>
      </c>
      <c r="O75" s="54">
        <v>1844.44</v>
      </c>
      <c r="P75" s="54">
        <v>1844.44</v>
      </c>
      <c r="Q75" s="54">
        <v>0.0</v>
      </c>
      <c r="R75" s="54">
        <v>35044.76</v>
      </c>
      <c r="S75" s="54">
        <v>33200.32</v>
      </c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54">
        <v>73.0</v>
      </c>
      <c r="N76" s="103" t="s">
        <v>237</v>
      </c>
      <c r="O76" s="54">
        <v>1844.44</v>
      </c>
      <c r="P76" s="54">
        <v>1844.44</v>
      </c>
      <c r="Q76" s="54">
        <v>0.0</v>
      </c>
      <c r="R76" s="54">
        <v>33200.32</v>
      </c>
      <c r="S76" s="54">
        <v>31355.88</v>
      </c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54">
        <v>74.0</v>
      </c>
      <c r="N77" s="103" t="s">
        <v>238</v>
      </c>
      <c r="O77" s="54">
        <v>1844.44</v>
      </c>
      <c r="P77" s="54">
        <v>1844.44</v>
      </c>
      <c r="Q77" s="54">
        <v>0.0</v>
      </c>
      <c r="R77" s="54">
        <v>31355.88</v>
      </c>
      <c r="S77" s="54">
        <v>29511.44</v>
      </c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54">
        <v>75.0</v>
      </c>
      <c r="N78" s="103" t="s">
        <v>239</v>
      </c>
      <c r="O78" s="54">
        <v>1844.44</v>
      </c>
      <c r="P78" s="54">
        <v>1844.44</v>
      </c>
      <c r="Q78" s="54">
        <v>0.0</v>
      </c>
      <c r="R78" s="54">
        <v>29511.44</v>
      </c>
      <c r="S78" s="54">
        <v>27667.0</v>
      </c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54">
        <v>76.0</v>
      </c>
      <c r="N79" s="103" t="s">
        <v>240</v>
      </c>
      <c r="O79" s="54">
        <v>1844.44</v>
      </c>
      <c r="P79" s="54">
        <v>1844.44</v>
      </c>
      <c r="Q79" s="54">
        <v>0.0</v>
      </c>
      <c r="R79" s="54">
        <v>27667.0</v>
      </c>
      <c r="S79" s="54">
        <v>25822.56</v>
      </c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54">
        <v>77.0</v>
      </c>
      <c r="N80" s="103" t="s">
        <v>241</v>
      </c>
      <c r="O80" s="54">
        <v>1844.44</v>
      </c>
      <c r="P80" s="54">
        <v>1844.44</v>
      </c>
      <c r="Q80" s="54">
        <v>0.0</v>
      </c>
      <c r="R80" s="54">
        <v>25822.56</v>
      </c>
      <c r="S80" s="54">
        <v>23978.12</v>
      </c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54">
        <v>78.0</v>
      </c>
      <c r="N81" s="103" t="s">
        <v>242</v>
      </c>
      <c r="O81" s="54">
        <v>1844.44</v>
      </c>
      <c r="P81" s="54">
        <v>1844.44</v>
      </c>
      <c r="Q81" s="54">
        <v>0.0</v>
      </c>
      <c r="R81" s="54">
        <v>23978.12</v>
      </c>
      <c r="S81" s="54">
        <v>22133.68</v>
      </c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54">
        <v>79.0</v>
      </c>
      <c r="N82" s="103" t="s">
        <v>243</v>
      </c>
      <c r="O82" s="54">
        <v>1844.44</v>
      </c>
      <c r="P82" s="54">
        <v>1844.44</v>
      </c>
      <c r="Q82" s="54">
        <v>0.0</v>
      </c>
      <c r="R82" s="54">
        <v>22133.68</v>
      </c>
      <c r="S82" s="54">
        <v>20289.24</v>
      </c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54">
        <v>80.0</v>
      </c>
      <c r="N83" s="103" t="s">
        <v>244</v>
      </c>
      <c r="O83" s="54">
        <v>1844.44</v>
      </c>
      <c r="P83" s="54">
        <v>1844.44</v>
      </c>
      <c r="Q83" s="54">
        <v>0.0</v>
      </c>
      <c r="R83" s="54">
        <v>20289.24</v>
      </c>
      <c r="S83" s="54">
        <v>18444.8</v>
      </c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54">
        <v>81.0</v>
      </c>
      <c r="N84" s="103" t="s">
        <v>134</v>
      </c>
      <c r="O84" s="54">
        <v>1844.44</v>
      </c>
      <c r="P84" s="54">
        <v>1844.44</v>
      </c>
      <c r="Q84" s="54">
        <v>0.0</v>
      </c>
      <c r="R84" s="54">
        <v>18444.8</v>
      </c>
      <c r="S84" s="54">
        <v>16600.36</v>
      </c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54">
        <v>82.0</v>
      </c>
      <c r="N85" s="103">
        <v>45664.0</v>
      </c>
      <c r="O85" s="54">
        <v>1844.44</v>
      </c>
      <c r="P85" s="54">
        <v>1844.44</v>
      </c>
      <c r="Q85" s="54">
        <v>0.0</v>
      </c>
      <c r="R85" s="54">
        <v>16600.36</v>
      </c>
      <c r="S85" s="54">
        <v>14755.92</v>
      </c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54">
        <v>83.0</v>
      </c>
      <c r="N86" s="103">
        <v>45695.0</v>
      </c>
      <c r="O86" s="54">
        <v>1844.44</v>
      </c>
      <c r="P86" s="54">
        <v>1844.44</v>
      </c>
      <c r="Q86" s="54">
        <v>0.0</v>
      </c>
      <c r="R86" s="54">
        <v>14755.92</v>
      </c>
      <c r="S86" s="54">
        <v>12911.48</v>
      </c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54">
        <v>84.0</v>
      </c>
      <c r="N87" s="103">
        <v>45723.0</v>
      </c>
      <c r="O87" s="54">
        <v>1844.44</v>
      </c>
      <c r="P87" s="54">
        <v>1844.44</v>
      </c>
      <c r="Q87" s="54">
        <v>0.0</v>
      </c>
      <c r="R87" s="54">
        <v>12911.48</v>
      </c>
      <c r="S87" s="54">
        <v>11067.04</v>
      </c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54">
        <v>85.0</v>
      </c>
      <c r="N88" s="103">
        <v>45754.0</v>
      </c>
      <c r="O88" s="54">
        <v>1844.44</v>
      </c>
      <c r="P88" s="54">
        <v>1844.44</v>
      </c>
      <c r="Q88" s="54">
        <v>0.0</v>
      </c>
      <c r="R88" s="54">
        <v>11067.04</v>
      </c>
      <c r="S88" s="54">
        <v>9222.6</v>
      </c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54">
        <v>86.0</v>
      </c>
      <c r="N89" s="103">
        <v>45784.0</v>
      </c>
      <c r="O89" s="54">
        <v>1844.44</v>
      </c>
      <c r="P89" s="54">
        <v>1844.44</v>
      </c>
      <c r="Q89" s="54">
        <v>0.0</v>
      </c>
      <c r="R89" s="54">
        <v>9222.6</v>
      </c>
      <c r="S89" s="54">
        <v>7378.16</v>
      </c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54">
        <v>87.0</v>
      </c>
      <c r="N90" s="103">
        <v>45815.0</v>
      </c>
      <c r="O90" s="54">
        <v>1844.44</v>
      </c>
      <c r="P90" s="54">
        <v>1844.44</v>
      </c>
      <c r="Q90" s="54">
        <v>0.0</v>
      </c>
      <c r="R90" s="54">
        <v>7378.16</v>
      </c>
      <c r="S90" s="54">
        <v>5533.72</v>
      </c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54">
        <v>88.0</v>
      </c>
      <c r="N91" s="103">
        <v>45845.0</v>
      </c>
      <c r="O91" s="54">
        <v>1844.44</v>
      </c>
      <c r="P91" s="54">
        <v>1844.44</v>
      </c>
      <c r="Q91" s="54">
        <v>0.0</v>
      </c>
      <c r="R91" s="54">
        <v>5533.72</v>
      </c>
      <c r="S91" s="54">
        <v>3689.28</v>
      </c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54">
        <v>89.0</v>
      </c>
      <c r="N92" s="103">
        <v>45876.0</v>
      </c>
      <c r="O92" s="54">
        <v>1844.44</v>
      </c>
      <c r="P92" s="54">
        <v>1844.44</v>
      </c>
      <c r="Q92" s="54">
        <v>0.0</v>
      </c>
      <c r="R92" s="54">
        <v>3689.28</v>
      </c>
      <c r="S92" s="54">
        <v>1844.84</v>
      </c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54">
        <v>90.0</v>
      </c>
      <c r="N93" s="103">
        <v>45907.0</v>
      </c>
      <c r="O93" s="54">
        <v>1844.84</v>
      </c>
      <c r="P93" s="54">
        <v>1844.84</v>
      </c>
      <c r="Q93" s="54">
        <v>0.0</v>
      </c>
      <c r="R93" s="54">
        <v>1844.84</v>
      </c>
      <c r="S93" s="54">
        <v>0.0</v>
      </c>
      <c r="T93" s="7"/>
      <c r="U93" s="7"/>
      <c r="V93" s="7"/>
      <c r="W93" s="7"/>
      <c r="X93" s="7"/>
      <c r="Y93" s="7"/>
      <c r="Z93" s="7"/>
    </row>
    <row r="94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">
    <mergeCell ref="A1:C1"/>
    <mergeCell ref="A2:C2"/>
    <mergeCell ref="F14:G14"/>
    <mergeCell ref="C21:D21"/>
    <mergeCell ref="C27:D27"/>
    <mergeCell ref="C36:D36"/>
    <mergeCell ref="C44:D44"/>
    <mergeCell ref="C50:D5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0.13"/>
    <col customWidth="1" min="7" max="7" width="19.88"/>
  </cols>
  <sheetData>
    <row r="1">
      <c r="A1" s="91" t="s">
        <v>268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>
      <c r="A3" s="7"/>
      <c r="B3" s="7"/>
      <c r="C3" s="101" t="s">
        <v>57</v>
      </c>
      <c r="D3" s="102" t="s">
        <v>167</v>
      </c>
      <c r="E3" s="30"/>
      <c r="F3" s="7"/>
      <c r="G3" s="7"/>
      <c r="H3" s="7"/>
      <c r="I3" s="7"/>
      <c r="J3" s="7"/>
      <c r="K3" s="7"/>
      <c r="L3" s="8" t="s">
        <v>269</v>
      </c>
      <c r="M3" s="7"/>
      <c r="N3" s="125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>
      <c r="A4" s="92" t="s">
        <v>0</v>
      </c>
      <c r="B4" s="92" t="s">
        <v>1</v>
      </c>
      <c r="C4" s="92" t="s">
        <v>2</v>
      </c>
      <c r="D4" s="92" t="s">
        <v>3</v>
      </c>
      <c r="E4" s="92" t="s">
        <v>4</v>
      </c>
      <c r="F4" s="92" t="s">
        <v>5</v>
      </c>
      <c r="G4" s="92" t="s">
        <v>6</v>
      </c>
      <c r="H4" s="92" t="s">
        <v>7</v>
      </c>
      <c r="I4" s="9" t="s">
        <v>8</v>
      </c>
      <c r="J4" s="7"/>
      <c r="K4" s="7"/>
      <c r="L4" s="126" t="s">
        <v>41</v>
      </c>
      <c r="M4" s="126" t="s">
        <v>270</v>
      </c>
      <c r="N4" s="127" t="s">
        <v>271</v>
      </c>
      <c r="O4" s="126" t="s">
        <v>272</v>
      </c>
      <c r="P4" s="126" t="s">
        <v>273</v>
      </c>
      <c r="Q4" s="126" t="s">
        <v>274</v>
      </c>
      <c r="R4" s="126" t="s">
        <v>275</v>
      </c>
      <c r="S4" s="126" t="s">
        <v>276</v>
      </c>
      <c r="T4" s="126" t="s">
        <v>125</v>
      </c>
      <c r="U4" s="126" t="s">
        <v>277</v>
      </c>
      <c r="V4" s="126" t="s">
        <v>278</v>
      </c>
      <c r="W4" s="64"/>
      <c r="X4" s="64"/>
      <c r="Y4" s="64"/>
      <c r="Z4" s="64"/>
      <c r="AA4" s="64"/>
      <c r="AB4" s="64"/>
      <c r="AC4" s="64"/>
      <c r="AD4" s="64"/>
      <c r="AE4" s="64"/>
    </row>
    <row r="5">
      <c r="A5" s="106">
        <v>1.0</v>
      </c>
      <c r="B5" s="106" t="s">
        <v>9</v>
      </c>
      <c r="C5" s="106" t="s">
        <v>10</v>
      </c>
      <c r="D5" s="106" t="s">
        <v>11</v>
      </c>
      <c r="E5" s="106" t="s">
        <v>12</v>
      </c>
      <c r="F5" s="106" t="s">
        <v>13</v>
      </c>
      <c r="G5" s="106" t="s">
        <v>14</v>
      </c>
      <c r="H5" s="108">
        <f>U5</f>
        <v>82505.01821</v>
      </c>
      <c r="I5" s="106">
        <v>100032.0</v>
      </c>
      <c r="J5" s="89"/>
      <c r="K5" s="7"/>
      <c r="L5" s="128">
        <v>45722.0</v>
      </c>
      <c r="M5" s="129">
        <f>L5+R5</f>
        <v>45812</v>
      </c>
      <c r="N5" s="130">
        <v>3.42606743E9</v>
      </c>
      <c r="O5" s="131">
        <v>45707.0</v>
      </c>
      <c r="P5" s="132" t="s">
        <v>279</v>
      </c>
      <c r="Q5" s="133">
        <v>86336.96</v>
      </c>
      <c r="R5" s="132">
        <v>90.0</v>
      </c>
      <c r="S5" s="134">
        <v>0.18</v>
      </c>
      <c r="T5" s="135">
        <f>Q5*(S5/365*R5)</f>
        <v>3831.941786</v>
      </c>
      <c r="U5" s="135">
        <f>Q5-T5</f>
        <v>82505.01821</v>
      </c>
      <c r="V5" s="135">
        <f>Q5</f>
        <v>86336.96</v>
      </c>
      <c r="W5" s="7"/>
      <c r="X5" s="7"/>
      <c r="Y5" s="7"/>
      <c r="Z5" s="7"/>
      <c r="AA5" s="7"/>
      <c r="AB5" s="7"/>
      <c r="AC5" s="7"/>
      <c r="AD5" s="7"/>
      <c r="AE5" s="7"/>
    </row>
    <row r="6">
      <c r="A6" s="106">
        <v>1.0</v>
      </c>
      <c r="B6" s="106" t="s">
        <v>9</v>
      </c>
      <c r="C6" s="106" t="s">
        <v>10</v>
      </c>
      <c r="D6" s="106" t="s">
        <v>15</v>
      </c>
      <c r="E6" s="106" t="s">
        <v>12</v>
      </c>
      <c r="F6" s="106" t="s">
        <v>13</v>
      </c>
      <c r="G6" s="106" t="s">
        <v>16</v>
      </c>
      <c r="H6" s="108">
        <f>H7</f>
        <v>3831.941786</v>
      </c>
      <c r="I6" s="106">
        <v>100035.0</v>
      </c>
      <c r="J6" s="89"/>
      <c r="K6" s="7"/>
      <c r="L6" s="7"/>
      <c r="M6" s="7"/>
      <c r="N6" s="125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>
      <c r="A7" s="106">
        <v>1.0</v>
      </c>
      <c r="B7" s="106" t="s">
        <v>9</v>
      </c>
      <c r="C7" s="106" t="s">
        <v>10</v>
      </c>
      <c r="D7" s="106" t="s">
        <v>17</v>
      </c>
      <c r="E7" s="106" t="s">
        <v>18</v>
      </c>
      <c r="F7" s="106" t="s">
        <v>19</v>
      </c>
      <c r="G7" s="106" t="s">
        <v>20</v>
      </c>
      <c r="H7" s="108">
        <f>T5</f>
        <v>3831.941786</v>
      </c>
      <c r="I7" s="106">
        <v>300008.0</v>
      </c>
      <c r="J7" s="89"/>
      <c r="K7" s="7"/>
      <c r="L7" s="7"/>
      <c r="M7" s="7"/>
      <c r="N7" s="125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>
      <c r="A8" s="106">
        <v>1.0</v>
      </c>
      <c r="B8" s="106" t="s">
        <v>9</v>
      </c>
      <c r="C8" s="106" t="s">
        <v>10</v>
      </c>
      <c r="D8" s="106" t="s">
        <v>21</v>
      </c>
      <c r="E8" s="106" t="s">
        <v>22</v>
      </c>
      <c r="F8" s="106" t="s">
        <v>19</v>
      </c>
      <c r="G8" s="106" t="s">
        <v>23</v>
      </c>
      <c r="H8" s="108">
        <f>U5</f>
        <v>82505.01821</v>
      </c>
      <c r="I8" s="106">
        <v>200041.0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8" t="s">
        <v>280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125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126" t="s">
        <v>41</v>
      </c>
      <c r="M11" s="126" t="s">
        <v>270</v>
      </c>
      <c r="N11" s="127" t="s">
        <v>271</v>
      </c>
      <c r="O11" s="126" t="s">
        <v>272</v>
      </c>
      <c r="P11" s="126" t="s">
        <v>273</v>
      </c>
      <c r="Q11" s="126" t="s">
        <v>274</v>
      </c>
      <c r="R11" s="126" t="s">
        <v>275</v>
      </c>
      <c r="S11" s="126" t="s">
        <v>276</v>
      </c>
      <c r="T11" s="126" t="s">
        <v>125</v>
      </c>
      <c r="U11" s="126" t="s">
        <v>277</v>
      </c>
      <c r="V11" s="126" t="s">
        <v>278</v>
      </c>
      <c r="W11" s="126" t="s">
        <v>281</v>
      </c>
      <c r="X11" s="126" t="s">
        <v>282</v>
      </c>
      <c r="Y11" s="126" t="s">
        <v>283</v>
      </c>
      <c r="Z11" s="126" t="s">
        <v>284</v>
      </c>
      <c r="AA11" s="126" t="s">
        <v>285</v>
      </c>
      <c r="AB11" s="126" t="s">
        <v>286</v>
      </c>
      <c r="AC11" s="126" t="s">
        <v>287</v>
      </c>
      <c r="AD11" s="126" t="s">
        <v>288</v>
      </c>
      <c r="AE11" s="64"/>
    </row>
    <row r="12">
      <c r="A12" s="7"/>
      <c r="B12" s="7"/>
      <c r="C12" s="101" t="s">
        <v>57</v>
      </c>
      <c r="D12" s="102" t="s">
        <v>58</v>
      </c>
      <c r="E12" s="30"/>
      <c r="F12" s="34" t="s">
        <v>187</v>
      </c>
      <c r="H12" s="7"/>
      <c r="I12" s="7"/>
      <c r="J12" s="7"/>
      <c r="K12" s="7"/>
      <c r="L12" s="128">
        <v>45722.0</v>
      </c>
      <c r="M12" s="129">
        <f>L12+R12</f>
        <v>45812</v>
      </c>
      <c r="N12" s="130">
        <v>3.42606743E9</v>
      </c>
      <c r="O12" s="131">
        <v>45707.0</v>
      </c>
      <c r="P12" s="132" t="s">
        <v>279</v>
      </c>
      <c r="Q12" s="133">
        <v>86336.96</v>
      </c>
      <c r="R12" s="132">
        <v>90.0</v>
      </c>
      <c r="S12" s="134">
        <v>0.18</v>
      </c>
      <c r="T12" s="135">
        <f>Q12*(S12/365*R12)</f>
        <v>3831.941786</v>
      </c>
      <c r="U12" s="135">
        <f>Q12-T12</f>
        <v>82505.01821</v>
      </c>
      <c r="V12" s="135">
        <f>Q12</f>
        <v>86336.96</v>
      </c>
      <c r="W12" s="132" t="s">
        <v>289</v>
      </c>
      <c r="X12" s="135">
        <v>86336.96</v>
      </c>
      <c r="Y12" s="136">
        <v>45816.0</v>
      </c>
      <c r="Z12" s="132">
        <f>Y12-L12</f>
        <v>94</v>
      </c>
      <c r="AA12" s="137">
        <f>Q12*30%/365*(Z12-R12)</f>
        <v>283.8475397</v>
      </c>
      <c r="AB12" s="137">
        <f>X12-Q12</f>
        <v>0</v>
      </c>
      <c r="AC12" s="137">
        <f>AA12+T12</f>
        <v>4115.789326</v>
      </c>
      <c r="AD12" s="137">
        <v>0.0</v>
      </c>
      <c r="AE12" s="7"/>
    </row>
    <row r="13">
      <c r="A13" s="92" t="s">
        <v>0</v>
      </c>
      <c r="B13" s="92" t="s">
        <v>1</v>
      </c>
      <c r="C13" s="92" t="s">
        <v>2</v>
      </c>
      <c r="D13" s="92" t="s">
        <v>3</v>
      </c>
      <c r="E13" s="92" t="s">
        <v>4</v>
      </c>
      <c r="F13" s="92" t="s">
        <v>5</v>
      </c>
      <c r="G13" s="92" t="s">
        <v>6</v>
      </c>
      <c r="H13" s="92" t="s">
        <v>7</v>
      </c>
      <c r="I13" s="9" t="s">
        <v>8</v>
      </c>
      <c r="J13" s="7"/>
      <c r="K13" s="7"/>
      <c r="L13" s="7"/>
      <c r="M13" s="7"/>
      <c r="N13" s="12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>
      <c r="A14" s="106">
        <v>2.0</v>
      </c>
      <c r="B14" s="106" t="s">
        <v>9</v>
      </c>
      <c r="C14" s="106" t="s">
        <v>10</v>
      </c>
      <c r="D14" s="106" t="s">
        <v>21</v>
      </c>
      <c r="E14" s="106" t="s">
        <v>22</v>
      </c>
      <c r="F14" s="106" t="s">
        <v>13</v>
      </c>
      <c r="G14" s="106" t="s">
        <v>23</v>
      </c>
      <c r="H14" s="108">
        <f>U5</f>
        <v>82505.01821</v>
      </c>
      <c r="I14" s="106">
        <v>200041.0</v>
      </c>
      <c r="J14" s="7"/>
      <c r="K14" s="7"/>
      <c r="L14" s="7"/>
      <c r="M14" s="7"/>
      <c r="N14" s="125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>
      <c r="A15" s="106">
        <v>2.0</v>
      </c>
      <c r="B15" s="106" t="s">
        <v>9</v>
      </c>
      <c r="C15" s="106" t="s">
        <v>10</v>
      </c>
      <c r="D15" s="106" t="s">
        <v>60</v>
      </c>
      <c r="E15" s="106" t="s">
        <v>61</v>
      </c>
      <c r="F15" s="106" t="s">
        <v>19</v>
      </c>
      <c r="G15" s="106" t="s">
        <v>62</v>
      </c>
      <c r="H15" s="108">
        <f>H14</f>
        <v>82505.01821</v>
      </c>
      <c r="I15" s="106">
        <v>100003.0</v>
      </c>
      <c r="J15" s="7"/>
      <c r="K15" s="7"/>
      <c r="L15" s="8" t="s">
        <v>290</v>
      </c>
      <c r="M15" s="7"/>
      <c r="N15" s="125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126" t="s">
        <v>41</v>
      </c>
      <c r="M16" s="126" t="s">
        <v>270</v>
      </c>
      <c r="N16" s="127" t="s">
        <v>271</v>
      </c>
      <c r="O16" s="126" t="s">
        <v>272</v>
      </c>
      <c r="P16" s="126" t="s">
        <v>273</v>
      </c>
      <c r="Q16" s="126" t="s">
        <v>274</v>
      </c>
      <c r="R16" s="126" t="s">
        <v>275</v>
      </c>
      <c r="S16" s="126" t="s">
        <v>276</v>
      </c>
      <c r="T16" s="126" t="s">
        <v>125</v>
      </c>
      <c r="U16" s="126" t="s">
        <v>277</v>
      </c>
      <c r="V16" s="126" t="s">
        <v>278</v>
      </c>
      <c r="W16" s="126" t="s">
        <v>281</v>
      </c>
      <c r="X16" s="126" t="s">
        <v>282</v>
      </c>
      <c r="Y16" s="126" t="s">
        <v>283</v>
      </c>
      <c r="Z16" s="126" t="s">
        <v>284</v>
      </c>
      <c r="AA16" s="126" t="s">
        <v>291</v>
      </c>
      <c r="AB16" s="126" t="s">
        <v>286</v>
      </c>
      <c r="AC16" s="126" t="s">
        <v>287</v>
      </c>
      <c r="AD16" s="126" t="s">
        <v>288</v>
      </c>
      <c r="AE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128">
        <v>45722.0</v>
      </c>
      <c r="M17" s="129">
        <f>L17+R17</f>
        <v>45812</v>
      </c>
      <c r="N17" s="130">
        <v>3.42606743E9</v>
      </c>
      <c r="O17" s="131">
        <v>45707.0</v>
      </c>
      <c r="P17" s="132" t="s">
        <v>279</v>
      </c>
      <c r="Q17" s="133">
        <v>86336.96</v>
      </c>
      <c r="R17" s="132">
        <v>90.0</v>
      </c>
      <c r="S17" s="134">
        <v>0.18</v>
      </c>
      <c r="T17" s="135">
        <f>Q17*(S17/365*R17)</f>
        <v>3831.941786</v>
      </c>
      <c r="U17" s="135">
        <f>Q17-T17</f>
        <v>82505.01821</v>
      </c>
      <c r="V17" s="135">
        <f>Q17</f>
        <v>86336.96</v>
      </c>
      <c r="W17" s="132" t="s">
        <v>289</v>
      </c>
      <c r="X17" s="135">
        <v>93365.62</v>
      </c>
      <c r="Y17" s="136">
        <v>45778.0</v>
      </c>
      <c r="Z17" s="132">
        <f>Y17-L17</f>
        <v>56</v>
      </c>
      <c r="AA17" s="137">
        <f>T17-AC17</f>
        <v>1447.622453</v>
      </c>
      <c r="AB17" s="137">
        <f>X17-Q17</f>
        <v>7028.66</v>
      </c>
      <c r="AC17" s="137">
        <f>Q17*S17/365*Z17</f>
        <v>2384.319334</v>
      </c>
      <c r="AD17" s="137">
        <f>AA17+AB17</f>
        <v>8476.282453</v>
      </c>
      <c r="AE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125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125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104"/>
      <c r="AA19" s="7"/>
      <c r="AB19" s="7"/>
      <c r="AC19" s="7"/>
      <c r="AD19" s="7"/>
      <c r="AE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125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104"/>
      <c r="AA20" s="7"/>
      <c r="AB20" s="7"/>
      <c r="AC20" s="7"/>
      <c r="AD20" s="7"/>
      <c r="AE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125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125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125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125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125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125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8"/>
      <c r="L27" s="7"/>
      <c r="M27" s="7"/>
      <c r="N27" s="125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125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125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125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>
      <c r="A31" s="7"/>
      <c r="B31" s="7"/>
      <c r="C31" s="101" t="s">
        <v>57</v>
      </c>
      <c r="D31" s="138" t="s">
        <v>292</v>
      </c>
      <c r="E31" s="30"/>
      <c r="F31" s="34" t="s">
        <v>187</v>
      </c>
      <c r="H31" s="7"/>
      <c r="I31" s="7"/>
      <c r="J31" s="7"/>
      <c r="K31" s="7"/>
      <c r="L31" s="7"/>
      <c r="M31" s="7"/>
      <c r="N31" s="125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>
      <c r="A32" s="92" t="s">
        <v>0</v>
      </c>
      <c r="B32" s="92" t="s">
        <v>1</v>
      </c>
      <c r="C32" s="92" t="s">
        <v>2</v>
      </c>
      <c r="D32" s="92" t="s">
        <v>3</v>
      </c>
      <c r="E32" s="92" t="s">
        <v>4</v>
      </c>
      <c r="F32" s="92" t="s">
        <v>5</v>
      </c>
      <c r="G32" s="92" t="s">
        <v>6</v>
      </c>
      <c r="H32" s="92" t="s">
        <v>7</v>
      </c>
      <c r="I32" s="9" t="s">
        <v>8</v>
      </c>
      <c r="J32" s="7"/>
      <c r="K32" s="7"/>
      <c r="L32" s="7"/>
      <c r="M32" s="7"/>
      <c r="N32" s="125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>
      <c r="A33" s="106">
        <v>3.0</v>
      </c>
      <c r="B33" s="106" t="s">
        <v>292</v>
      </c>
      <c r="C33" s="106" t="s">
        <v>10</v>
      </c>
      <c r="D33" s="106" t="s">
        <v>79</v>
      </c>
      <c r="E33" s="106" t="s">
        <v>12</v>
      </c>
      <c r="F33" s="106" t="s">
        <v>13</v>
      </c>
      <c r="G33" s="106" t="s">
        <v>90</v>
      </c>
      <c r="H33" s="108">
        <f>H34+H35</f>
        <v>86336.96</v>
      </c>
      <c r="I33" s="106">
        <v>100062.0</v>
      </c>
      <c r="J33" s="11" t="s">
        <v>293</v>
      </c>
      <c r="K33" s="7"/>
      <c r="L33" s="7"/>
      <c r="M33" s="7"/>
      <c r="N33" s="125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>
      <c r="A34" s="106">
        <v>3.0</v>
      </c>
      <c r="B34" s="106" t="s">
        <v>292</v>
      </c>
      <c r="C34" s="106" t="s">
        <v>10</v>
      </c>
      <c r="D34" s="106" t="s">
        <v>15</v>
      </c>
      <c r="E34" s="106" t="s">
        <v>12</v>
      </c>
      <c r="F34" s="106" t="s">
        <v>19</v>
      </c>
      <c r="G34" s="110"/>
      <c r="H34" s="108">
        <f>T5</f>
        <v>3831.941786</v>
      </c>
      <c r="I34" s="106">
        <v>100035.0</v>
      </c>
      <c r="J34" s="139" t="s">
        <v>294</v>
      </c>
      <c r="K34" s="7"/>
      <c r="L34" s="7"/>
      <c r="M34" s="7"/>
      <c r="N34" s="125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>
      <c r="A35" s="106">
        <v>3.0</v>
      </c>
      <c r="B35" s="106" t="s">
        <v>292</v>
      </c>
      <c r="C35" s="106" t="s">
        <v>10</v>
      </c>
      <c r="D35" s="106" t="s">
        <v>11</v>
      </c>
      <c r="E35" s="106" t="s">
        <v>12</v>
      </c>
      <c r="F35" s="106" t="s">
        <v>19</v>
      </c>
      <c r="G35" s="110"/>
      <c r="H35" s="108">
        <f>U5</f>
        <v>82505.01821</v>
      </c>
      <c r="I35" s="106">
        <v>100032.0</v>
      </c>
      <c r="J35" s="89"/>
      <c r="K35" s="7"/>
      <c r="L35" s="7"/>
      <c r="M35" s="7"/>
      <c r="N35" s="125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>
      <c r="A36" s="89"/>
      <c r="B36" s="89"/>
      <c r="C36" s="89"/>
      <c r="D36" s="89"/>
      <c r="E36" s="89"/>
      <c r="F36" s="89"/>
      <c r="G36" s="89"/>
      <c r="H36" s="89"/>
      <c r="I36" s="89"/>
      <c r="J36" s="7"/>
      <c r="K36" s="7"/>
      <c r="L36" s="7"/>
      <c r="M36" s="7"/>
      <c r="N36" s="125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>
      <c r="A37" s="89"/>
      <c r="B37" s="89"/>
      <c r="C37" s="89"/>
      <c r="D37" s="89"/>
      <c r="E37" s="89"/>
      <c r="F37" s="89"/>
      <c r="G37" s="89"/>
      <c r="H37" s="89"/>
      <c r="I37" s="89"/>
      <c r="J37" s="7"/>
      <c r="K37" s="7"/>
      <c r="L37" s="7"/>
      <c r="M37" s="7"/>
      <c r="N37" s="125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>
      <c r="A38" s="140" t="s">
        <v>295</v>
      </c>
      <c r="B38" s="89"/>
      <c r="C38" s="140" t="s">
        <v>296</v>
      </c>
      <c r="D38" s="89"/>
      <c r="E38" s="89"/>
      <c r="F38" s="89"/>
      <c r="G38" s="89"/>
      <c r="H38" s="89"/>
      <c r="I38" s="89"/>
      <c r="J38" s="7"/>
      <c r="K38" s="7"/>
      <c r="L38" s="7"/>
      <c r="M38" s="7"/>
      <c r="N38" s="125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125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>
      <c r="A40" s="7"/>
      <c r="B40" s="43" t="s">
        <v>297</v>
      </c>
      <c r="C40" s="101" t="s">
        <v>57</v>
      </c>
      <c r="D40" s="102" t="s">
        <v>86</v>
      </c>
      <c r="F40" s="7"/>
      <c r="G40" s="7"/>
      <c r="H40" s="7"/>
      <c r="I40" s="7"/>
      <c r="J40" s="7"/>
      <c r="K40" s="7"/>
      <c r="L40" s="7"/>
      <c r="M40" s="7"/>
      <c r="N40" s="125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>
      <c r="A41" s="92" t="s">
        <v>0</v>
      </c>
      <c r="B41" s="92" t="s">
        <v>1</v>
      </c>
      <c r="C41" s="92" t="s">
        <v>2</v>
      </c>
      <c r="D41" s="92" t="s">
        <v>3</v>
      </c>
      <c r="E41" s="92" t="s">
        <v>4</v>
      </c>
      <c r="F41" s="92" t="s">
        <v>5</v>
      </c>
      <c r="G41" s="92" t="s">
        <v>6</v>
      </c>
      <c r="H41" s="92" t="s">
        <v>7</v>
      </c>
      <c r="I41" s="9" t="s">
        <v>8</v>
      </c>
      <c r="J41" s="7"/>
      <c r="K41" s="7"/>
      <c r="L41" s="7"/>
      <c r="M41" s="7"/>
      <c r="N41" s="125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>
      <c r="A42" s="106">
        <v>4.0</v>
      </c>
      <c r="B42" s="106" t="s">
        <v>52</v>
      </c>
      <c r="C42" s="106" t="s">
        <v>10</v>
      </c>
      <c r="D42" s="106" t="s">
        <v>79</v>
      </c>
      <c r="E42" s="106" t="s">
        <v>12</v>
      </c>
      <c r="F42" s="106" t="s">
        <v>13</v>
      </c>
      <c r="G42" s="106" t="s">
        <v>90</v>
      </c>
      <c r="H42" s="108">
        <f>H44+H45+H46</f>
        <v>86620.80754</v>
      </c>
      <c r="I42" s="106">
        <v>100062.0</v>
      </c>
      <c r="J42" s="7"/>
      <c r="K42" s="7"/>
      <c r="L42" s="7"/>
      <c r="M42" s="7"/>
      <c r="N42" s="125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>
      <c r="A43" s="106">
        <v>4.0</v>
      </c>
      <c r="B43" s="106" t="s">
        <v>66</v>
      </c>
      <c r="C43" s="106" t="s">
        <v>10</v>
      </c>
      <c r="D43" s="106" t="s">
        <v>298</v>
      </c>
      <c r="E43" s="106" t="s">
        <v>12</v>
      </c>
      <c r="F43" s="106" t="s">
        <v>19</v>
      </c>
      <c r="G43" s="110"/>
      <c r="H43" s="141">
        <f>AA12</f>
        <v>283.8475397</v>
      </c>
      <c r="I43" s="106">
        <v>100030.0</v>
      </c>
      <c r="J43" s="7"/>
      <c r="K43" s="7"/>
      <c r="L43" s="7"/>
      <c r="M43" s="7"/>
      <c r="N43" s="125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>
      <c r="A44" s="106">
        <v>4.0</v>
      </c>
      <c r="B44" s="106" t="s">
        <v>66</v>
      </c>
      <c r="C44" s="106" t="s">
        <v>10</v>
      </c>
      <c r="D44" s="106" t="s">
        <v>15</v>
      </c>
      <c r="E44" s="106" t="s">
        <v>12</v>
      </c>
      <c r="F44" s="106" t="s">
        <v>19</v>
      </c>
      <c r="G44" s="110"/>
      <c r="H44" s="108">
        <f>T12</f>
        <v>3831.941786</v>
      </c>
      <c r="I44" s="106">
        <v>100035.0</v>
      </c>
      <c r="J44" s="7"/>
      <c r="K44" s="7"/>
      <c r="L44" s="7"/>
      <c r="M44" s="7"/>
      <c r="N44" s="125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>
      <c r="A45" s="106">
        <v>4.0</v>
      </c>
      <c r="B45" s="106" t="s">
        <v>52</v>
      </c>
      <c r="C45" s="106" t="s">
        <v>10</v>
      </c>
      <c r="D45" s="106" t="s">
        <v>299</v>
      </c>
      <c r="E45" s="106" t="s">
        <v>12</v>
      </c>
      <c r="F45" s="106" t="s">
        <v>19</v>
      </c>
      <c r="G45" s="110"/>
      <c r="H45" s="108">
        <f>U12</f>
        <v>82505.01821</v>
      </c>
      <c r="I45" s="106">
        <v>100032.0</v>
      </c>
      <c r="J45" s="7"/>
      <c r="K45" s="7"/>
      <c r="L45" s="7"/>
      <c r="M45" s="7"/>
      <c r="N45" s="125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>
      <c r="A46" s="106">
        <v>4.0</v>
      </c>
      <c r="B46" s="106" t="s">
        <v>66</v>
      </c>
      <c r="C46" s="106" t="s">
        <v>10</v>
      </c>
      <c r="D46" s="106" t="s">
        <v>17</v>
      </c>
      <c r="E46" s="106" t="s">
        <v>18</v>
      </c>
      <c r="F46" s="106" t="s">
        <v>19</v>
      </c>
      <c r="G46" s="110"/>
      <c r="H46" s="108">
        <f>AA12</f>
        <v>283.8475397</v>
      </c>
      <c r="I46" s="106">
        <v>300008.0</v>
      </c>
      <c r="J46" s="7"/>
      <c r="K46" s="7"/>
      <c r="L46" s="7"/>
      <c r="M46" s="7"/>
      <c r="N46" s="125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>
      <c r="A47" s="106">
        <v>4.0</v>
      </c>
      <c r="B47" s="106" t="s">
        <v>66</v>
      </c>
      <c r="C47" s="106" t="s">
        <v>10</v>
      </c>
      <c r="D47" s="106" t="s">
        <v>298</v>
      </c>
      <c r="E47" s="106" t="s">
        <v>12</v>
      </c>
      <c r="F47" s="106" t="s">
        <v>13</v>
      </c>
      <c r="G47" s="110"/>
      <c r="H47" s="141">
        <v>283.85</v>
      </c>
      <c r="I47" s="106">
        <v>100030.0</v>
      </c>
      <c r="J47" s="7"/>
      <c r="K47" s="7"/>
      <c r="L47" s="7"/>
      <c r="M47" s="7"/>
      <c r="N47" s="125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>
      <c r="A48" s="43" t="s">
        <v>300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125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>
      <c r="A49" s="89"/>
      <c r="B49" s="89"/>
      <c r="C49" s="89"/>
      <c r="D49" s="89"/>
      <c r="E49" s="89"/>
      <c r="F49" s="89"/>
      <c r="G49" s="89"/>
      <c r="H49" s="89"/>
      <c r="I49" s="89"/>
      <c r="J49" s="7"/>
      <c r="K49" s="7"/>
      <c r="L49" s="7"/>
      <c r="M49" s="7"/>
      <c r="N49" s="125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>
      <c r="A50" s="89"/>
      <c r="B50" s="89"/>
      <c r="C50" s="89"/>
      <c r="D50" s="89"/>
      <c r="E50" s="89"/>
      <c r="F50" s="89"/>
      <c r="G50" s="89"/>
      <c r="H50" s="89"/>
      <c r="I50" s="89"/>
      <c r="J50" s="7"/>
      <c r="K50" s="7"/>
      <c r="L50" s="7"/>
      <c r="M50" s="7"/>
      <c r="N50" s="125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>
      <c r="A51" s="142" t="s">
        <v>301</v>
      </c>
      <c r="B51" s="89"/>
      <c r="C51" s="89"/>
      <c r="D51" s="89"/>
      <c r="E51" s="89"/>
      <c r="F51" s="89"/>
      <c r="G51" s="89"/>
      <c r="H51" s="89"/>
      <c r="I51" s="89"/>
      <c r="J51" s="7"/>
      <c r="K51" s="7"/>
      <c r="L51" s="7"/>
      <c r="M51" s="7"/>
      <c r="N51" s="125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>
      <c r="A52" s="89"/>
      <c r="B52" s="89"/>
      <c r="C52" s="89"/>
      <c r="E52" s="89"/>
      <c r="F52" s="89"/>
      <c r="G52" s="89"/>
      <c r="H52" s="89"/>
      <c r="I52" s="89"/>
      <c r="J52" s="7"/>
      <c r="K52" s="7"/>
      <c r="L52" s="7"/>
      <c r="M52" s="7"/>
      <c r="N52" s="125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>
      <c r="A53" s="7"/>
      <c r="B53" s="43" t="s">
        <v>297</v>
      </c>
      <c r="C53" s="101" t="s">
        <v>57</v>
      </c>
      <c r="D53" s="102" t="s">
        <v>86</v>
      </c>
      <c r="F53" s="7"/>
      <c r="G53" s="7"/>
      <c r="H53" s="7"/>
      <c r="I53" s="7"/>
      <c r="J53" s="7"/>
      <c r="K53" s="7"/>
      <c r="L53" s="7"/>
      <c r="M53" s="7"/>
      <c r="N53" s="125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>
      <c r="A54" s="92" t="s">
        <v>0</v>
      </c>
      <c r="B54" s="92" t="s">
        <v>1</v>
      </c>
      <c r="C54" s="92" t="s">
        <v>2</v>
      </c>
      <c r="D54" s="92" t="s">
        <v>3</v>
      </c>
      <c r="E54" s="92" t="s">
        <v>4</v>
      </c>
      <c r="F54" s="92" t="s">
        <v>5</v>
      </c>
      <c r="G54" s="92" t="s">
        <v>6</v>
      </c>
      <c r="H54" s="92" t="s">
        <v>7</v>
      </c>
      <c r="I54" s="9" t="s">
        <v>8</v>
      </c>
      <c r="J54" s="7"/>
      <c r="K54" s="7"/>
      <c r="L54" s="7"/>
      <c r="M54" s="7"/>
      <c r="N54" s="125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>
      <c r="A55" s="106">
        <v>5.0</v>
      </c>
      <c r="B55" s="106" t="s">
        <v>52</v>
      </c>
      <c r="C55" s="106" t="s">
        <v>10</v>
      </c>
      <c r="D55" s="106" t="s">
        <v>302</v>
      </c>
      <c r="E55" s="106" t="s">
        <v>12</v>
      </c>
      <c r="F55" s="106" t="s">
        <v>13</v>
      </c>
      <c r="G55" s="110"/>
      <c r="H55" s="143">
        <f>H57+H58+H59+H60-H56</f>
        <v>93365.62</v>
      </c>
      <c r="I55" s="106">
        <v>100062.0</v>
      </c>
      <c r="J55" s="7"/>
      <c r="K55" s="7"/>
      <c r="L55" s="7"/>
      <c r="M55" s="7"/>
      <c r="N55" s="125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>
      <c r="A56" s="106">
        <v>5.0</v>
      </c>
      <c r="B56" s="106" t="s">
        <v>66</v>
      </c>
      <c r="C56" s="106" t="s">
        <v>10</v>
      </c>
      <c r="D56" s="106" t="s">
        <v>17</v>
      </c>
      <c r="E56" s="106" t="s">
        <v>18</v>
      </c>
      <c r="F56" s="106" t="s">
        <v>13</v>
      </c>
      <c r="G56" s="110"/>
      <c r="H56" s="143">
        <f>AA17</f>
        <v>1447.622453</v>
      </c>
      <c r="I56" s="106">
        <v>300008.0</v>
      </c>
      <c r="J56" s="7"/>
      <c r="K56" s="7"/>
      <c r="L56" s="7"/>
      <c r="M56" s="7"/>
      <c r="N56" s="125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>
      <c r="A57" s="106">
        <v>5.0</v>
      </c>
      <c r="B57" s="106" t="s">
        <v>52</v>
      </c>
      <c r="C57" s="106" t="s">
        <v>10</v>
      </c>
      <c r="D57" s="106" t="s">
        <v>303</v>
      </c>
      <c r="E57" s="106" t="s">
        <v>12</v>
      </c>
      <c r="F57" s="106" t="s">
        <v>19</v>
      </c>
      <c r="G57" s="110"/>
      <c r="H57" s="143">
        <f>U17</f>
        <v>82505.01821</v>
      </c>
      <c r="I57" s="106">
        <v>100032.0</v>
      </c>
      <c r="J57" s="7"/>
      <c r="K57" s="7"/>
      <c r="L57" s="7"/>
      <c r="M57" s="7"/>
      <c r="N57" s="125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>
      <c r="A58" s="106">
        <v>5.0</v>
      </c>
      <c r="B58" s="106" t="s">
        <v>52</v>
      </c>
      <c r="C58" s="106" t="s">
        <v>10</v>
      </c>
      <c r="D58" s="106" t="s">
        <v>15</v>
      </c>
      <c r="E58" s="106" t="s">
        <v>12</v>
      </c>
      <c r="F58" s="106" t="s">
        <v>19</v>
      </c>
      <c r="G58" s="110"/>
      <c r="H58" s="143">
        <f>T17</f>
        <v>3831.941786</v>
      </c>
      <c r="I58" s="106">
        <v>100035.0</v>
      </c>
      <c r="J58" s="7"/>
      <c r="K58" s="7"/>
      <c r="L58" s="7"/>
      <c r="M58" s="7"/>
      <c r="N58" s="125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>
      <c r="A59" s="106">
        <v>5.0</v>
      </c>
      <c r="B59" s="106" t="s">
        <v>83</v>
      </c>
      <c r="C59" s="106" t="s">
        <v>10</v>
      </c>
      <c r="D59" s="106" t="s">
        <v>152</v>
      </c>
      <c r="E59" s="106" t="s">
        <v>22</v>
      </c>
      <c r="F59" s="106" t="s">
        <v>19</v>
      </c>
      <c r="G59" s="110"/>
      <c r="H59" s="143">
        <f>AB17</f>
        <v>7028.66</v>
      </c>
      <c r="I59" s="106">
        <v>200078.0</v>
      </c>
      <c r="J59" s="7"/>
      <c r="K59" s="7"/>
      <c r="L59" s="7"/>
      <c r="M59" s="7"/>
      <c r="N59" s="125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>
      <c r="A60" s="106">
        <v>5.0</v>
      </c>
      <c r="B60" s="106" t="s">
        <v>83</v>
      </c>
      <c r="C60" s="106" t="s">
        <v>10</v>
      </c>
      <c r="D60" s="106" t="s">
        <v>304</v>
      </c>
      <c r="E60" s="106" t="s">
        <v>22</v>
      </c>
      <c r="F60" s="106" t="s">
        <v>19</v>
      </c>
      <c r="G60" s="110"/>
      <c r="H60" s="143">
        <f>AA17</f>
        <v>1447.622453</v>
      </c>
      <c r="I60" s="106">
        <v>200079.0</v>
      </c>
      <c r="J60" s="7"/>
      <c r="K60" s="7"/>
      <c r="L60" s="7"/>
      <c r="M60" s="7"/>
      <c r="N60" s="125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>
      <c r="A61" s="144"/>
      <c r="B61" s="144"/>
      <c r="C61" s="144"/>
      <c r="D61" s="144"/>
      <c r="E61" s="144"/>
      <c r="F61" s="144"/>
      <c r="G61" s="144"/>
      <c r="H61" s="144"/>
      <c r="I61" s="144"/>
      <c r="J61" s="7"/>
      <c r="K61" s="7"/>
      <c r="L61" s="7"/>
      <c r="M61" s="7"/>
      <c r="N61" s="125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>
      <c r="A62" s="145" t="s">
        <v>305</v>
      </c>
      <c r="B62" s="89"/>
      <c r="C62" s="89"/>
      <c r="D62" s="89"/>
      <c r="E62" s="89"/>
      <c r="F62" s="89"/>
      <c r="G62" s="89"/>
      <c r="H62" s="89"/>
      <c r="I62" s="144"/>
      <c r="J62" s="7"/>
      <c r="K62" s="7"/>
      <c r="L62" s="7"/>
      <c r="M62" s="7"/>
      <c r="N62" s="125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>
      <c r="A63" s="142" t="s">
        <v>41</v>
      </c>
      <c r="B63" s="146">
        <v>45903.0</v>
      </c>
      <c r="C63" s="89"/>
      <c r="D63" s="89"/>
      <c r="E63" s="89"/>
      <c r="F63" s="89"/>
      <c r="G63" s="89"/>
      <c r="H63" s="89"/>
      <c r="I63" s="144"/>
      <c r="J63" s="7"/>
      <c r="K63" s="7"/>
      <c r="L63" s="7"/>
      <c r="M63" s="7"/>
      <c r="N63" s="125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>
      <c r="B64" s="43" t="s">
        <v>297</v>
      </c>
      <c r="C64" s="101" t="s">
        <v>57</v>
      </c>
      <c r="D64" s="102" t="s">
        <v>86</v>
      </c>
      <c r="F64" s="147" t="s">
        <v>306</v>
      </c>
      <c r="G64" s="7"/>
      <c r="H64" s="7"/>
      <c r="I64" s="7"/>
      <c r="J64" s="7"/>
    </row>
    <row r="65">
      <c r="A65" s="92" t="s">
        <v>0</v>
      </c>
      <c r="B65" s="92" t="s">
        <v>1</v>
      </c>
      <c r="C65" s="92" t="s">
        <v>2</v>
      </c>
      <c r="D65" s="92" t="s">
        <v>3</v>
      </c>
      <c r="E65" s="92" t="s">
        <v>4</v>
      </c>
      <c r="F65" s="92" t="s">
        <v>5</v>
      </c>
      <c r="G65" s="92" t="s">
        <v>6</v>
      </c>
      <c r="H65" s="92" t="s">
        <v>7</v>
      </c>
      <c r="I65" s="9" t="s">
        <v>8</v>
      </c>
      <c r="J65" s="7"/>
    </row>
    <row r="66">
      <c r="A66" s="106">
        <v>6.0</v>
      </c>
      <c r="B66" s="106" t="s">
        <v>52</v>
      </c>
      <c r="C66" s="106" t="s">
        <v>10</v>
      </c>
      <c r="D66" s="106" t="s">
        <v>155</v>
      </c>
      <c r="E66" s="106" t="s">
        <v>156</v>
      </c>
      <c r="F66" s="106" t="s">
        <v>13</v>
      </c>
      <c r="G66" s="106" t="s">
        <v>156</v>
      </c>
      <c r="H66" s="108">
        <f>H67</f>
        <v>82505.01821</v>
      </c>
      <c r="I66" s="106">
        <v>400041.0</v>
      </c>
      <c r="J66" s="7"/>
    </row>
    <row r="67">
      <c r="A67" s="106">
        <v>6.0</v>
      </c>
      <c r="B67" s="106" t="s">
        <v>52</v>
      </c>
      <c r="C67" s="106" t="s">
        <v>10</v>
      </c>
      <c r="D67" s="106" t="s">
        <v>299</v>
      </c>
      <c r="E67" s="106" t="s">
        <v>12</v>
      </c>
      <c r="F67" s="106" t="s">
        <v>19</v>
      </c>
      <c r="G67" s="110"/>
      <c r="H67" s="108">
        <f>U17</f>
        <v>82505.01821</v>
      </c>
      <c r="I67" s="106">
        <v>100032.0</v>
      </c>
      <c r="J67" s="7"/>
    </row>
    <row r="68">
      <c r="A68" s="145"/>
      <c r="B68" s="89"/>
      <c r="C68" s="89"/>
      <c r="D68" s="89"/>
      <c r="E68" s="89"/>
      <c r="F68" s="89"/>
      <c r="G68" s="89"/>
      <c r="H68" s="89"/>
      <c r="I68" s="89"/>
      <c r="J68" s="7"/>
    </row>
    <row r="69">
      <c r="A69" s="145" t="s">
        <v>307</v>
      </c>
      <c r="B69" s="89"/>
      <c r="C69" s="89"/>
      <c r="D69" s="89"/>
      <c r="E69" s="89"/>
      <c r="F69" s="89"/>
      <c r="G69" s="89"/>
      <c r="H69" s="89"/>
      <c r="I69" s="89"/>
      <c r="J69" s="7"/>
    </row>
    <row r="70">
      <c r="A70" s="142" t="s">
        <v>41</v>
      </c>
      <c r="B70" s="146">
        <v>45903.0</v>
      </c>
      <c r="C70" s="144"/>
      <c r="D70" s="144"/>
      <c r="E70" s="144"/>
      <c r="F70" s="144"/>
      <c r="G70" s="144"/>
      <c r="H70" s="148"/>
      <c r="I70" s="89"/>
      <c r="J70" s="7"/>
    </row>
    <row r="71">
      <c r="A71" s="7"/>
      <c r="B71" s="43" t="s">
        <v>297</v>
      </c>
      <c r="C71" s="101" t="s">
        <v>57</v>
      </c>
      <c r="D71" s="102" t="s">
        <v>86</v>
      </c>
      <c r="F71" s="147" t="s">
        <v>308</v>
      </c>
      <c r="G71" s="7"/>
      <c r="H71" s="7"/>
      <c r="I71" s="7"/>
      <c r="J71" s="7"/>
    </row>
    <row r="72">
      <c r="A72" s="92" t="s">
        <v>0</v>
      </c>
      <c r="B72" s="92" t="s">
        <v>1</v>
      </c>
      <c r="C72" s="92" t="s">
        <v>2</v>
      </c>
      <c r="D72" s="92" t="s">
        <v>3</v>
      </c>
      <c r="E72" s="92" t="s">
        <v>4</v>
      </c>
      <c r="F72" s="92" t="s">
        <v>5</v>
      </c>
      <c r="G72" s="92" t="s">
        <v>6</v>
      </c>
      <c r="H72" s="92" t="s">
        <v>7</v>
      </c>
      <c r="I72" s="9" t="s">
        <v>8</v>
      </c>
      <c r="J72" s="7"/>
    </row>
    <row r="73">
      <c r="A73" s="106">
        <v>7.0</v>
      </c>
      <c r="B73" s="106" t="s">
        <v>52</v>
      </c>
      <c r="C73" s="106" t="s">
        <v>10</v>
      </c>
      <c r="D73" s="106" t="s">
        <v>155</v>
      </c>
      <c r="E73" s="106" t="s">
        <v>156</v>
      </c>
      <c r="F73" s="106" t="s">
        <v>13</v>
      </c>
      <c r="G73" s="106" t="s">
        <v>156</v>
      </c>
      <c r="H73" s="108">
        <f>V17/2</f>
        <v>43168.48</v>
      </c>
      <c r="I73" s="106">
        <v>400041.0</v>
      </c>
      <c r="J73" s="7"/>
    </row>
    <row r="74">
      <c r="A74" s="106">
        <v>7.0</v>
      </c>
      <c r="B74" s="106" t="s">
        <v>52</v>
      </c>
      <c r="C74" s="106" t="s">
        <v>10</v>
      </c>
      <c r="D74" s="106" t="s">
        <v>299</v>
      </c>
      <c r="E74" s="106" t="s">
        <v>12</v>
      </c>
      <c r="F74" s="106" t="s">
        <v>19</v>
      </c>
      <c r="G74" s="110"/>
      <c r="H74" s="108">
        <f>H73</f>
        <v>43168.48</v>
      </c>
      <c r="I74" s="106">
        <v>100032.0</v>
      </c>
      <c r="J74" s="7"/>
    </row>
    <row r="75">
      <c r="A75" s="89"/>
      <c r="B75" s="89"/>
      <c r="C75" s="89"/>
      <c r="D75" s="89"/>
      <c r="E75" s="89"/>
      <c r="F75" s="89"/>
      <c r="G75" s="89"/>
      <c r="H75" s="89"/>
      <c r="I75" s="89"/>
      <c r="J75" s="7"/>
    </row>
  </sheetData>
  <mergeCells count="8">
    <mergeCell ref="A1:C1"/>
    <mergeCell ref="F12:G12"/>
    <mergeCell ref="F31:G31"/>
    <mergeCell ref="D40:E40"/>
    <mergeCell ref="C52:D52"/>
    <mergeCell ref="D53:E53"/>
    <mergeCell ref="D64:E64"/>
    <mergeCell ref="D71:E7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0.13"/>
    <col customWidth="1" min="7" max="7" width="19.88"/>
  </cols>
  <sheetData>
    <row r="1">
      <c r="A1" s="91" t="s">
        <v>268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>
      <c r="A3" s="7"/>
      <c r="B3" s="7"/>
      <c r="C3" s="101" t="s">
        <v>57</v>
      </c>
      <c r="D3" s="102" t="s">
        <v>167</v>
      </c>
      <c r="E3" s="30"/>
      <c r="F3" s="7"/>
      <c r="G3" s="7"/>
      <c r="H3" s="7"/>
      <c r="I3" s="7"/>
      <c r="J3" s="7"/>
      <c r="K3" s="7"/>
      <c r="L3" s="8" t="s">
        <v>269</v>
      </c>
      <c r="M3" s="7"/>
      <c r="N3" s="125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>
      <c r="A4" s="92" t="s">
        <v>0</v>
      </c>
      <c r="B4" s="92" t="s">
        <v>1</v>
      </c>
      <c r="C4" s="92" t="s">
        <v>2</v>
      </c>
      <c r="D4" s="92" t="s">
        <v>3</v>
      </c>
      <c r="E4" s="92" t="s">
        <v>4</v>
      </c>
      <c r="F4" s="92" t="s">
        <v>5</v>
      </c>
      <c r="G4" s="92" t="s">
        <v>6</v>
      </c>
      <c r="H4" s="92" t="s">
        <v>7</v>
      </c>
      <c r="I4" s="9" t="s">
        <v>8</v>
      </c>
      <c r="J4" s="7"/>
      <c r="K4" s="7"/>
      <c r="L4" s="126" t="s">
        <v>41</v>
      </c>
      <c r="M4" s="126" t="s">
        <v>270</v>
      </c>
      <c r="N4" s="127" t="s">
        <v>271</v>
      </c>
      <c r="O4" s="126" t="s">
        <v>272</v>
      </c>
      <c r="P4" s="126" t="s">
        <v>273</v>
      </c>
      <c r="Q4" s="126" t="s">
        <v>274</v>
      </c>
      <c r="R4" s="126" t="s">
        <v>275</v>
      </c>
      <c r="S4" s="126" t="s">
        <v>276</v>
      </c>
      <c r="T4" s="126" t="s">
        <v>125</v>
      </c>
      <c r="U4" s="126" t="s">
        <v>277</v>
      </c>
      <c r="V4" s="126" t="s">
        <v>278</v>
      </c>
      <c r="W4" s="64"/>
      <c r="X4" s="64"/>
      <c r="Y4" s="64"/>
      <c r="Z4" s="64"/>
      <c r="AA4" s="64"/>
      <c r="AB4" s="64"/>
      <c r="AC4" s="64"/>
      <c r="AD4" s="64"/>
      <c r="AE4" s="64"/>
    </row>
    <row r="5">
      <c r="A5" s="106">
        <v>1.0</v>
      </c>
      <c r="B5" s="106" t="s">
        <v>9</v>
      </c>
      <c r="C5" s="106" t="s">
        <v>10</v>
      </c>
      <c r="D5" s="106" t="s">
        <v>11</v>
      </c>
      <c r="E5" s="106" t="s">
        <v>12</v>
      </c>
      <c r="F5" s="106" t="s">
        <v>13</v>
      </c>
      <c r="G5" s="106" t="s">
        <v>14</v>
      </c>
      <c r="H5" s="108">
        <f>U5</f>
        <v>82505.01821</v>
      </c>
      <c r="I5" s="106">
        <v>100032.0</v>
      </c>
      <c r="J5" s="89"/>
      <c r="K5" s="7"/>
      <c r="L5" s="128">
        <v>45722.0</v>
      </c>
      <c r="M5" s="129">
        <f>L5+R5</f>
        <v>45812</v>
      </c>
      <c r="N5" s="130">
        <v>3.42606743E9</v>
      </c>
      <c r="O5" s="131">
        <v>45707.0</v>
      </c>
      <c r="P5" s="132" t="s">
        <v>279</v>
      </c>
      <c r="Q5" s="133">
        <v>86336.96</v>
      </c>
      <c r="R5" s="132">
        <v>90.0</v>
      </c>
      <c r="S5" s="134">
        <v>0.18</v>
      </c>
      <c r="T5" s="135">
        <f>Q5*(S5/365*R5)</f>
        <v>3831.941786</v>
      </c>
      <c r="U5" s="135">
        <f>Q5-T5</f>
        <v>82505.01821</v>
      </c>
      <c r="V5" s="135">
        <f>Q5</f>
        <v>86336.96</v>
      </c>
      <c r="W5" s="7"/>
      <c r="X5" s="7"/>
      <c r="Y5" s="7"/>
      <c r="Z5" s="7"/>
      <c r="AA5" s="7"/>
      <c r="AB5" s="7"/>
      <c r="AC5" s="7"/>
      <c r="AD5" s="7"/>
      <c r="AE5" s="7"/>
    </row>
    <row r="6">
      <c r="A6" s="106">
        <v>1.0</v>
      </c>
      <c r="B6" s="106" t="s">
        <v>9</v>
      </c>
      <c r="C6" s="106" t="s">
        <v>10</v>
      </c>
      <c r="D6" s="106" t="s">
        <v>15</v>
      </c>
      <c r="E6" s="106" t="s">
        <v>12</v>
      </c>
      <c r="F6" s="106" t="s">
        <v>13</v>
      </c>
      <c r="G6" s="106" t="s">
        <v>16</v>
      </c>
      <c r="H6" s="108">
        <f>H7</f>
        <v>3831.941786</v>
      </c>
      <c r="I6" s="106">
        <v>100035.0</v>
      </c>
      <c r="J6" s="89"/>
      <c r="K6" s="7"/>
      <c r="L6" s="7"/>
      <c r="M6" s="7"/>
      <c r="N6" s="125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>
      <c r="A7" s="106">
        <v>1.0</v>
      </c>
      <c r="B7" s="106" t="s">
        <v>9</v>
      </c>
      <c r="C7" s="106" t="s">
        <v>10</v>
      </c>
      <c r="D7" s="106" t="s">
        <v>17</v>
      </c>
      <c r="E7" s="106" t="s">
        <v>18</v>
      </c>
      <c r="F7" s="106" t="s">
        <v>19</v>
      </c>
      <c r="G7" s="106" t="s">
        <v>20</v>
      </c>
      <c r="H7" s="108">
        <f>T5</f>
        <v>3831.941786</v>
      </c>
      <c r="I7" s="106">
        <v>300008.0</v>
      </c>
      <c r="J7" s="89"/>
      <c r="K7" s="7"/>
      <c r="L7" s="7"/>
      <c r="M7" s="7"/>
      <c r="N7" s="125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>
      <c r="A8" s="106">
        <v>1.0</v>
      </c>
      <c r="B8" s="106" t="s">
        <v>9</v>
      </c>
      <c r="C8" s="106" t="s">
        <v>10</v>
      </c>
      <c r="D8" s="106" t="s">
        <v>21</v>
      </c>
      <c r="E8" s="106" t="s">
        <v>22</v>
      </c>
      <c r="F8" s="106" t="s">
        <v>19</v>
      </c>
      <c r="G8" s="106" t="s">
        <v>23</v>
      </c>
      <c r="H8" s="108">
        <f>U5</f>
        <v>82505.01821</v>
      </c>
      <c r="I8" s="106">
        <v>200041.0</v>
      </c>
      <c r="J8" s="7"/>
      <c r="K8" s="7"/>
      <c r="L8" s="7" t="s">
        <v>112</v>
      </c>
      <c r="M8" s="7" t="s">
        <v>113</v>
      </c>
      <c r="N8" s="7" t="s">
        <v>114</v>
      </c>
      <c r="O8" s="7" t="s">
        <v>115</v>
      </c>
      <c r="P8" s="7" t="s">
        <v>116</v>
      </c>
      <c r="Q8" s="11" t="s">
        <v>309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>
        <v>1.0</v>
      </c>
      <c r="M9" s="149">
        <v>45747.0</v>
      </c>
      <c r="N9" s="116">
        <f>Q5</f>
        <v>86336.96</v>
      </c>
      <c r="O9" s="116">
        <f>N9</f>
        <v>86336.96</v>
      </c>
      <c r="P9" s="7">
        <f>Q5*S5*Q9/365</f>
        <v>1064.428274</v>
      </c>
      <c r="Q9" s="7">
        <f>M9-L5</f>
        <v>25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>
        <v>2.0</v>
      </c>
      <c r="M10" s="149">
        <v>45777.0</v>
      </c>
      <c r="N10" s="116">
        <f t="shared" ref="N10:O10" si="1">N9</f>
        <v>86336.96</v>
      </c>
      <c r="O10" s="116">
        <f t="shared" si="1"/>
        <v>86336.96</v>
      </c>
      <c r="P10" s="7">
        <f>Q5*S5*Q10/365</f>
        <v>1277.313929</v>
      </c>
      <c r="Q10" s="7">
        <f t="shared" ref="Q10:Q11" si="3">M10-M9</f>
        <v>30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>
        <v>3.0</v>
      </c>
      <c r="M11" s="149">
        <v>45808.0</v>
      </c>
      <c r="N11" s="116">
        <f t="shared" ref="N11:O11" si="2">N10</f>
        <v>86336.96</v>
      </c>
      <c r="O11" s="116">
        <f t="shared" si="2"/>
        <v>86336.96</v>
      </c>
      <c r="P11" s="7">
        <f>Q5*S5*Q11/365</f>
        <v>1319.89106</v>
      </c>
      <c r="Q11" s="7">
        <f t="shared" si="3"/>
        <v>31</v>
      </c>
      <c r="R11" s="7"/>
      <c r="S11" s="7"/>
      <c r="T11" s="7"/>
      <c r="U11" s="7"/>
      <c r="V11" s="7"/>
      <c r="W11" s="7"/>
      <c r="X11" s="7"/>
      <c r="Y11" s="7"/>
      <c r="Z11" s="126" t="s">
        <v>284</v>
      </c>
      <c r="AA11" s="126" t="s">
        <v>285</v>
      </c>
      <c r="AB11" s="126" t="s">
        <v>286</v>
      </c>
      <c r="AC11" s="126" t="s">
        <v>287</v>
      </c>
      <c r="AD11" s="126" t="s">
        <v>288</v>
      </c>
      <c r="AE11" s="64"/>
    </row>
    <row r="12">
      <c r="A12" s="7"/>
      <c r="B12" s="7"/>
      <c r="C12" s="101" t="s">
        <v>57</v>
      </c>
      <c r="D12" s="102" t="s">
        <v>58</v>
      </c>
      <c r="E12" s="30"/>
      <c r="F12" s="34" t="s">
        <v>187</v>
      </c>
      <c r="H12" s="7"/>
      <c r="I12" s="7"/>
      <c r="J12" s="7"/>
      <c r="K12" s="7"/>
      <c r="L12" s="7">
        <v>4.0</v>
      </c>
      <c r="M12" s="149">
        <v>45838.0</v>
      </c>
      <c r="N12" s="116">
        <f>N11</f>
        <v>86336.96</v>
      </c>
      <c r="O12" s="7">
        <v>0.0</v>
      </c>
      <c r="P12" s="7">
        <f>Q5*S5*Q12/365</f>
        <v>170.3085238</v>
      </c>
      <c r="Q12" s="7">
        <f>M5-M11</f>
        <v>4</v>
      </c>
      <c r="R12" s="7"/>
      <c r="S12" s="7"/>
      <c r="T12" s="7"/>
      <c r="U12" s="7"/>
      <c r="V12" s="7"/>
      <c r="W12" s="7"/>
      <c r="X12" s="126" t="s">
        <v>282</v>
      </c>
      <c r="Y12" s="126" t="s">
        <v>283</v>
      </c>
      <c r="Z12" s="132">
        <f>Y13-L18</f>
        <v>94</v>
      </c>
      <c r="AA12" s="137">
        <f>Q18*30%/365*(Z12-R18)</f>
        <v>283.8475397</v>
      </c>
      <c r="AB12" s="137">
        <f>X13-Q18</f>
        <v>0</v>
      </c>
      <c r="AC12" s="137">
        <f>AA12+T18</f>
        <v>4115.789326</v>
      </c>
      <c r="AD12" s="137">
        <v>0.0</v>
      </c>
      <c r="AE12" s="7"/>
    </row>
    <row r="13">
      <c r="A13" s="92" t="s">
        <v>0</v>
      </c>
      <c r="B13" s="92" t="s">
        <v>1</v>
      </c>
      <c r="C13" s="92" t="s">
        <v>2</v>
      </c>
      <c r="D13" s="92" t="s">
        <v>3</v>
      </c>
      <c r="E13" s="92" t="s">
        <v>4</v>
      </c>
      <c r="F13" s="92" t="s">
        <v>5</v>
      </c>
      <c r="G13" s="92" t="s">
        <v>6</v>
      </c>
      <c r="H13" s="92" t="s">
        <v>7</v>
      </c>
      <c r="I13" s="9" t="s">
        <v>8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135">
        <v>86336.96</v>
      </c>
      <c r="Y13" s="136">
        <v>45816.0</v>
      </c>
      <c r="Z13" s="7"/>
      <c r="AA13" s="7"/>
      <c r="AB13" s="7"/>
      <c r="AC13" s="7"/>
      <c r="AD13" s="7"/>
      <c r="AE13" s="7"/>
    </row>
    <row r="14">
      <c r="A14" s="106">
        <v>2.0</v>
      </c>
      <c r="B14" s="106" t="s">
        <v>9</v>
      </c>
      <c r="C14" s="106" t="s">
        <v>10</v>
      </c>
      <c r="D14" s="106" t="s">
        <v>21</v>
      </c>
      <c r="E14" s="106" t="s">
        <v>22</v>
      </c>
      <c r="F14" s="106" t="s">
        <v>13</v>
      </c>
      <c r="G14" s="106" t="s">
        <v>23</v>
      </c>
      <c r="H14" s="108">
        <f>U5</f>
        <v>82505.01821</v>
      </c>
      <c r="I14" s="106">
        <v>200041.0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>
      <c r="A15" s="106">
        <v>2.0</v>
      </c>
      <c r="B15" s="106" t="s">
        <v>9</v>
      </c>
      <c r="C15" s="106" t="s">
        <v>10</v>
      </c>
      <c r="D15" s="106" t="s">
        <v>60</v>
      </c>
      <c r="E15" s="106" t="s">
        <v>61</v>
      </c>
      <c r="F15" s="106" t="s">
        <v>19</v>
      </c>
      <c r="G15" s="106" t="s">
        <v>62</v>
      </c>
      <c r="H15" s="108">
        <f>H14</f>
        <v>82505.01821</v>
      </c>
      <c r="I15" s="106">
        <v>100003.0</v>
      </c>
      <c r="J15" s="7"/>
      <c r="K15" s="7"/>
      <c r="L15" s="8" t="s">
        <v>280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125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126" t="s">
        <v>284</v>
      </c>
      <c r="AA16" s="126" t="s">
        <v>291</v>
      </c>
      <c r="AB16" s="126" t="s">
        <v>286</v>
      </c>
      <c r="AC16" s="126" t="s">
        <v>287</v>
      </c>
      <c r="AD16" s="126" t="s">
        <v>288</v>
      </c>
      <c r="AE16" s="7"/>
    </row>
    <row r="17">
      <c r="A17" s="7"/>
      <c r="B17" s="7"/>
      <c r="C17" s="112" t="s">
        <v>52</v>
      </c>
      <c r="D17" s="29" t="s">
        <v>64</v>
      </c>
      <c r="E17" s="7"/>
      <c r="F17" s="7"/>
      <c r="G17" s="7"/>
      <c r="H17" s="19"/>
      <c r="I17" s="7"/>
      <c r="J17" s="7"/>
      <c r="K17" s="7"/>
      <c r="L17" s="126" t="s">
        <v>41</v>
      </c>
      <c r="M17" s="126" t="s">
        <v>270</v>
      </c>
      <c r="N17" s="127" t="s">
        <v>271</v>
      </c>
      <c r="O17" s="126" t="s">
        <v>272</v>
      </c>
      <c r="P17" s="126" t="s">
        <v>273</v>
      </c>
      <c r="Q17" s="126" t="s">
        <v>274</v>
      </c>
      <c r="R17" s="126" t="s">
        <v>275</v>
      </c>
      <c r="S17" s="126" t="s">
        <v>276</v>
      </c>
      <c r="T17" s="126" t="s">
        <v>125</v>
      </c>
      <c r="U17" s="126" t="s">
        <v>277</v>
      </c>
      <c r="V17" s="126" t="s">
        <v>278</v>
      </c>
      <c r="W17" s="126" t="s">
        <v>281</v>
      </c>
      <c r="X17" s="126" t="s">
        <v>282</v>
      </c>
      <c r="Y17" s="126" t="s">
        <v>283</v>
      </c>
      <c r="Z17" s="132">
        <f>Y18-L23</f>
        <v>56</v>
      </c>
      <c r="AA17" s="137">
        <f>T23-AC17</f>
        <v>1447.622453</v>
      </c>
      <c r="AB17" s="137">
        <f>X18-Q23</f>
        <v>7028.66</v>
      </c>
      <c r="AC17" s="137">
        <f>Q23*S23/365*Z17</f>
        <v>2384.319334</v>
      </c>
      <c r="AD17" s="137">
        <f>AA17+AB17</f>
        <v>8476.282453</v>
      </c>
      <c r="AE17" s="7"/>
    </row>
    <row r="18">
      <c r="A18" s="7"/>
      <c r="B18" s="7"/>
      <c r="C18" s="31" t="s">
        <v>57</v>
      </c>
      <c r="D18" s="32" t="s">
        <v>65</v>
      </c>
      <c r="E18" s="33"/>
      <c r="F18" s="7"/>
      <c r="G18" s="7"/>
      <c r="H18" s="7"/>
      <c r="I18" s="7"/>
      <c r="J18" s="7"/>
      <c r="K18" s="7"/>
      <c r="L18" s="128">
        <v>45722.0</v>
      </c>
      <c r="M18" s="129">
        <f>L18+R18</f>
        <v>45812</v>
      </c>
      <c r="N18" s="130">
        <v>3.42606743E9</v>
      </c>
      <c r="O18" s="131">
        <v>45707.0</v>
      </c>
      <c r="P18" s="132" t="s">
        <v>279</v>
      </c>
      <c r="Q18" s="133">
        <v>86336.96</v>
      </c>
      <c r="R18" s="132">
        <v>90.0</v>
      </c>
      <c r="S18" s="134">
        <v>0.18</v>
      </c>
      <c r="T18" s="135">
        <f>Q18*(S18/365*R18)</f>
        <v>3831.941786</v>
      </c>
      <c r="U18" s="135">
        <f>Q18-T18</f>
        <v>82505.01821</v>
      </c>
      <c r="V18" s="135">
        <f>Q18</f>
        <v>86336.96</v>
      </c>
      <c r="W18" s="132" t="s">
        <v>289</v>
      </c>
      <c r="X18" s="135">
        <v>93365.62</v>
      </c>
      <c r="Y18" s="136">
        <v>45778.0</v>
      </c>
      <c r="Z18" s="7"/>
      <c r="AA18" s="7"/>
      <c r="AB18" s="7"/>
      <c r="AC18" s="7"/>
      <c r="AD18" s="7"/>
      <c r="AE18" s="7"/>
    </row>
    <row r="19">
      <c r="A19" s="9" t="s">
        <v>40</v>
      </c>
      <c r="B19" s="9" t="s">
        <v>1</v>
      </c>
      <c r="C19" s="9" t="s">
        <v>2</v>
      </c>
      <c r="D19" s="9" t="s">
        <v>3</v>
      </c>
      <c r="E19" s="20"/>
      <c r="F19" s="9" t="s">
        <v>5</v>
      </c>
      <c r="G19" s="9" t="s">
        <v>6</v>
      </c>
      <c r="H19" s="9" t="s">
        <v>7</v>
      </c>
      <c r="I19" s="10" t="s">
        <v>8</v>
      </c>
      <c r="J19" s="7"/>
      <c r="K19" s="7"/>
      <c r="L19" s="7"/>
      <c r="M19" s="7"/>
      <c r="N19" s="125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104"/>
      <c r="AA19" s="7"/>
      <c r="AB19" s="7"/>
      <c r="AC19" s="7"/>
      <c r="AD19" s="7"/>
      <c r="AE19" s="7"/>
    </row>
    <row r="20">
      <c r="A20" s="12">
        <v>3.0</v>
      </c>
      <c r="B20" s="14" t="s">
        <v>52</v>
      </c>
      <c r="C20" s="14" t="s">
        <v>10</v>
      </c>
      <c r="D20" s="15" t="s">
        <v>79</v>
      </c>
      <c r="E20" s="14" t="s">
        <v>12</v>
      </c>
      <c r="F20" s="14" t="s">
        <v>13</v>
      </c>
      <c r="G20" s="15" t="s">
        <v>197</v>
      </c>
      <c r="H20" s="113">
        <v>86336.96</v>
      </c>
      <c r="I20" s="17">
        <v>100062.0</v>
      </c>
      <c r="J20" s="7"/>
      <c r="K20" s="7"/>
      <c r="L20" s="7"/>
      <c r="M20" s="7"/>
      <c r="N20" s="125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104"/>
      <c r="AA20" s="7"/>
      <c r="AB20" s="7"/>
      <c r="AC20" s="7"/>
      <c r="AD20" s="7"/>
      <c r="AE20" s="7"/>
    </row>
    <row r="21">
      <c r="A21" s="12">
        <v>3.0</v>
      </c>
      <c r="B21" s="14" t="s">
        <v>52</v>
      </c>
      <c r="C21" s="14" t="s">
        <v>10</v>
      </c>
      <c r="D21" s="15" t="s">
        <v>310</v>
      </c>
      <c r="E21" s="15" t="s">
        <v>22</v>
      </c>
      <c r="F21" s="15" t="s">
        <v>19</v>
      </c>
      <c r="G21" s="15" t="s">
        <v>197</v>
      </c>
      <c r="H21" s="16">
        <f>H20</f>
        <v>86336.96</v>
      </c>
      <c r="I21" s="150">
        <v>200086.0</v>
      </c>
      <c r="J21" s="7"/>
      <c r="K21" s="7"/>
      <c r="L21" s="8" t="s">
        <v>290</v>
      </c>
      <c r="M21" s="7"/>
      <c r="N21" s="125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126" t="s">
        <v>41</v>
      </c>
      <c r="M22" s="126" t="s">
        <v>270</v>
      </c>
      <c r="N22" s="127" t="s">
        <v>271</v>
      </c>
      <c r="O22" s="126" t="s">
        <v>272</v>
      </c>
      <c r="P22" s="126" t="s">
        <v>273</v>
      </c>
      <c r="Q22" s="126" t="s">
        <v>274</v>
      </c>
      <c r="R22" s="126" t="s">
        <v>275</v>
      </c>
      <c r="S22" s="126" t="s">
        <v>276</v>
      </c>
      <c r="T22" s="126" t="s">
        <v>125</v>
      </c>
      <c r="U22" s="126" t="s">
        <v>277</v>
      </c>
      <c r="V22" s="126" t="s">
        <v>278</v>
      </c>
      <c r="W22" s="126" t="s">
        <v>281</v>
      </c>
      <c r="X22" s="7"/>
      <c r="Y22" s="7"/>
      <c r="Z22" s="7"/>
      <c r="AA22" s="7"/>
      <c r="AB22" s="7"/>
      <c r="AC22" s="7"/>
      <c r="AD22" s="7"/>
      <c r="AE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128">
        <v>45722.0</v>
      </c>
      <c r="M23" s="129">
        <f>L23+R23</f>
        <v>45812</v>
      </c>
      <c r="N23" s="130">
        <v>3.42606743E9</v>
      </c>
      <c r="O23" s="131">
        <v>45707.0</v>
      </c>
      <c r="P23" s="132" t="s">
        <v>279</v>
      </c>
      <c r="Q23" s="133">
        <v>86336.96</v>
      </c>
      <c r="R23" s="132">
        <v>90.0</v>
      </c>
      <c r="S23" s="134">
        <v>0.18</v>
      </c>
      <c r="T23" s="135">
        <f>Q23*(S23/365*R23)</f>
        <v>3831.941786</v>
      </c>
      <c r="U23" s="135">
        <f>Q23-T23</f>
        <v>82505.01821</v>
      </c>
      <c r="V23" s="135">
        <f>Q23</f>
        <v>86336.96</v>
      </c>
      <c r="W23" s="132" t="s">
        <v>289</v>
      </c>
      <c r="X23" s="7"/>
      <c r="Y23" s="7"/>
      <c r="Z23" s="7"/>
      <c r="AA23" s="7"/>
      <c r="AB23" s="7"/>
      <c r="AC23" s="7"/>
      <c r="AD23" s="7"/>
      <c r="AE23" s="7"/>
    </row>
    <row r="24">
      <c r="A24" s="7"/>
      <c r="B24" s="7"/>
      <c r="C24" s="112" t="s">
        <v>200</v>
      </c>
      <c r="D24" s="29" t="s">
        <v>64</v>
      </c>
      <c r="E24" s="7"/>
      <c r="F24" s="7"/>
      <c r="G24" s="7"/>
      <c r="H24" s="19"/>
      <c r="I24" s="7"/>
      <c r="J24" s="7"/>
      <c r="K24" s="7"/>
      <c r="L24" s="7"/>
      <c r="M24" s="7"/>
      <c r="N24" s="125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>
      <c r="A25" s="7"/>
      <c r="B25" s="7"/>
      <c r="C25" s="31" t="s">
        <v>57</v>
      </c>
      <c r="D25" s="32" t="s">
        <v>65</v>
      </c>
      <c r="E25" s="33"/>
      <c r="F25" s="7"/>
      <c r="G25" s="7"/>
      <c r="H25" s="7"/>
      <c r="I25" s="7"/>
      <c r="J25" s="7"/>
      <c r="K25" s="7"/>
      <c r="L25" s="7"/>
      <c r="M25" s="7"/>
      <c r="N25" s="125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>
      <c r="A26" s="9" t="s">
        <v>40</v>
      </c>
      <c r="B26" s="9" t="s">
        <v>1</v>
      </c>
      <c r="C26" s="9" t="s">
        <v>2</v>
      </c>
      <c r="D26" s="9" t="s">
        <v>3</v>
      </c>
      <c r="E26" s="20"/>
      <c r="F26" s="9" t="s">
        <v>5</v>
      </c>
      <c r="G26" s="9" t="s">
        <v>6</v>
      </c>
      <c r="H26" s="9" t="s">
        <v>7</v>
      </c>
      <c r="I26" s="10" t="s">
        <v>8</v>
      </c>
      <c r="J26" s="7"/>
      <c r="K26" s="7"/>
      <c r="L26" s="7"/>
      <c r="M26" s="7"/>
      <c r="N26" s="125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>
      <c r="A27" s="12">
        <v>3.0</v>
      </c>
      <c r="B27" s="15" t="s">
        <v>200</v>
      </c>
      <c r="C27" s="14" t="s">
        <v>10</v>
      </c>
      <c r="D27" s="15" t="str">
        <f>D21</f>
        <v>Invoice Discounting - Clearing</v>
      </c>
      <c r="E27" s="15" t="s">
        <v>22</v>
      </c>
      <c r="F27" s="15" t="s">
        <v>13</v>
      </c>
      <c r="G27" s="15" t="s">
        <v>83</v>
      </c>
      <c r="H27" s="113">
        <f>H21</f>
        <v>86336.96</v>
      </c>
      <c r="I27" s="150">
        <v>200086.0</v>
      </c>
      <c r="J27" s="7"/>
      <c r="K27" s="8"/>
      <c r="L27" s="7"/>
      <c r="M27" s="7"/>
      <c r="N27" s="125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>
      <c r="A28" s="12">
        <v>3.0</v>
      </c>
      <c r="B28" s="15" t="s">
        <v>200</v>
      </c>
      <c r="C28" s="14" t="s">
        <v>10</v>
      </c>
      <c r="D28" s="15" t="s">
        <v>79</v>
      </c>
      <c r="E28" s="14" t="s">
        <v>12</v>
      </c>
      <c r="F28" s="15" t="s">
        <v>19</v>
      </c>
      <c r="G28" s="15" t="s">
        <v>83</v>
      </c>
      <c r="H28" s="16">
        <f>H27</f>
        <v>86336.96</v>
      </c>
      <c r="I28" s="17">
        <v>100062.0</v>
      </c>
      <c r="J28" s="7"/>
      <c r="K28" s="7"/>
      <c r="L28" s="7"/>
      <c r="M28" s="7"/>
      <c r="N28" s="125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125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125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>
      <c r="A31" s="7"/>
      <c r="B31" s="96" t="s">
        <v>103</v>
      </c>
      <c r="C31" s="43" t="s">
        <v>311</v>
      </c>
      <c r="D31" s="151"/>
      <c r="E31" s="7"/>
      <c r="F31" s="7"/>
      <c r="G31" s="7"/>
      <c r="H31" s="7"/>
      <c r="I31" s="7"/>
      <c r="J31" s="7"/>
      <c r="K31" s="7"/>
      <c r="L31" s="7"/>
      <c r="M31" s="7"/>
      <c r="N31" s="125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>
      <c r="A32" s="7"/>
      <c r="B32" s="7"/>
      <c r="C32" s="101" t="s">
        <v>57</v>
      </c>
      <c r="D32" s="102" t="s">
        <v>167</v>
      </c>
      <c r="E32" s="30"/>
      <c r="F32" s="7"/>
      <c r="G32" s="7"/>
      <c r="H32" s="7"/>
      <c r="I32" s="7"/>
      <c r="J32" s="7"/>
      <c r="K32" s="7"/>
      <c r="L32" s="7"/>
      <c r="M32" s="7"/>
      <c r="N32" s="125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>
      <c r="A33" s="92" t="s">
        <v>0</v>
      </c>
      <c r="B33" s="92" t="s">
        <v>1</v>
      </c>
      <c r="C33" s="92" t="s">
        <v>2</v>
      </c>
      <c r="D33" s="92" t="s">
        <v>3</v>
      </c>
      <c r="E33" s="152"/>
      <c r="F33" s="92" t="s">
        <v>5</v>
      </c>
      <c r="G33" s="92" t="s">
        <v>6</v>
      </c>
      <c r="H33" s="105" t="s">
        <v>7</v>
      </c>
      <c r="I33" s="9" t="s">
        <v>8</v>
      </c>
      <c r="J33" s="7"/>
      <c r="K33" s="7"/>
      <c r="L33" s="7"/>
      <c r="M33" s="7"/>
      <c r="N33" s="125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>
      <c r="A34" s="110"/>
      <c r="B34" s="106" t="s">
        <v>66</v>
      </c>
      <c r="C34" s="106" t="s">
        <v>10</v>
      </c>
      <c r="D34" s="106" t="s">
        <v>17</v>
      </c>
      <c r="E34" s="106" t="s">
        <v>18</v>
      </c>
      <c r="F34" s="106" t="s">
        <v>19</v>
      </c>
      <c r="G34" s="106" t="s">
        <v>69</v>
      </c>
      <c r="H34" s="108">
        <f>P9</f>
        <v>1064.428274</v>
      </c>
      <c r="I34" s="106">
        <v>300008.0</v>
      </c>
      <c r="J34" s="7"/>
      <c r="K34" s="7"/>
      <c r="L34" s="7"/>
      <c r="M34" s="7"/>
      <c r="N34" s="125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>
      <c r="A35" s="110"/>
      <c r="B35" s="106" t="s">
        <v>66</v>
      </c>
      <c r="C35" s="106" t="s">
        <v>10</v>
      </c>
      <c r="D35" s="106" t="str">
        <f>D6</f>
        <v>Interest Receivable - Invoice Discounting - Receivable</v>
      </c>
      <c r="E35" s="106" t="s">
        <v>12</v>
      </c>
      <c r="F35" s="106" t="s">
        <v>13</v>
      </c>
      <c r="G35" s="106" t="s">
        <v>69</v>
      </c>
      <c r="H35" s="108">
        <f>H34</f>
        <v>1064.428274</v>
      </c>
      <c r="I35" s="106">
        <f>I6</f>
        <v>100035</v>
      </c>
      <c r="J35" s="7"/>
      <c r="K35" s="7"/>
      <c r="L35" s="7"/>
      <c r="M35" s="7"/>
      <c r="N35" s="125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125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>
      <c r="A37" s="7"/>
      <c r="B37" s="96" t="s">
        <v>118</v>
      </c>
      <c r="C37" s="112" t="s">
        <v>312</v>
      </c>
      <c r="D37" s="151"/>
      <c r="E37" s="7"/>
      <c r="F37" s="7"/>
      <c r="G37" s="7"/>
      <c r="H37" s="7"/>
      <c r="I37" s="7"/>
      <c r="J37" s="7"/>
      <c r="K37" s="7"/>
      <c r="L37" s="7"/>
      <c r="M37" s="7"/>
      <c r="N37" s="125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>
      <c r="A38" s="7"/>
      <c r="B38" s="7"/>
      <c r="C38" s="101" t="s">
        <v>57</v>
      </c>
      <c r="D38" s="102" t="s">
        <v>167</v>
      </c>
      <c r="E38" s="30"/>
      <c r="F38" s="7"/>
      <c r="G38" s="7"/>
      <c r="H38" s="7"/>
      <c r="I38" s="7"/>
      <c r="J38" s="7"/>
      <c r="K38" s="7"/>
      <c r="L38" s="7"/>
      <c r="M38" s="7"/>
      <c r="N38" s="125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>
      <c r="A39" s="92" t="s">
        <v>0</v>
      </c>
      <c r="B39" s="92" t="s">
        <v>1</v>
      </c>
      <c r="C39" s="92" t="s">
        <v>2</v>
      </c>
      <c r="D39" s="92" t="s">
        <v>3</v>
      </c>
      <c r="E39" s="152"/>
      <c r="F39" s="92" t="s">
        <v>5</v>
      </c>
      <c r="G39" s="92" t="s">
        <v>6</v>
      </c>
      <c r="H39" s="105" t="s">
        <v>7</v>
      </c>
      <c r="I39" s="9" t="s">
        <v>8</v>
      </c>
      <c r="J39" s="7"/>
      <c r="K39" s="7"/>
      <c r="L39" s="7"/>
      <c r="M39" s="7"/>
      <c r="N39" s="125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>
      <c r="A40" s="110"/>
      <c r="B40" s="106" t="s">
        <v>66</v>
      </c>
      <c r="C40" s="106" t="s">
        <v>10</v>
      </c>
      <c r="D40" s="106" t="s">
        <v>17</v>
      </c>
      <c r="E40" s="106" t="s">
        <v>18</v>
      </c>
      <c r="F40" s="106" t="s">
        <v>19</v>
      </c>
      <c r="G40" s="106" t="s">
        <v>69</v>
      </c>
      <c r="H40" s="108">
        <f>P10</f>
        <v>1277.313929</v>
      </c>
      <c r="I40" s="106">
        <v>300008.0</v>
      </c>
      <c r="J40" s="7"/>
      <c r="K40" s="7"/>
      <c r="L40" s="7"/>
      <c r="M40" s="7"/>
      <c r="N40" s="125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>
      <c r="A41" s="110"/>
      <c r="B41" s="106" t="s">
        <v>66</v>
      </c>
      <c r="C41" s="106" t="s">
        <v>10</v>
      </c>
      <c r="D41" s="106" t="s">
        <v>15</v>
      </c>
      <c r="E41" s="106" t="s">
        <v>12</v>
      </c>
      <c r="F41" s="106" t="s">
        <v>13</v>
      </c>
      <c r="G41" s="106" t="s">
        <v>69</v>
      </c>
      <c r="H41" s="108">
        <f>H40</f>
        <v>1277.313929</v>
      </c>
      <c r="I41" s="106">
        <v>100035.0</v>
      </c>
      <c r="J41" s="7"/>
      <c r="K41" s="7"/>
      <c r="L41" s="7"/>
      <c r="M41" s="7"/>
      <c r="N41" s="125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125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125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>
      <c r="A44" s="7"/>
      <c r="B44" s="96" t="s">
        <v>139</v>
      </c>
      <c r="C44" s="112" t="s">
        <v>313</v>
      </c>
      <c r="D44" s="151"/>
      <c r="E44" s="7"/>
      <c r="F44" s="7"/>
      <c r="G44" s="7"/>
      <c r="H44" s="7"/>
      <c r="I44" s="7"/>
      <c r="J44" s="7"/>
      <c r="K44" s="7"/>
      <c r="L44" s="7"/>
      <c r="M44" s="7"/>
      <c r="N44" s="125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>
      <c r="A45" s="7"/>
      <c r="B45" s="7"/>
      <c r="C45" s="101" t="s">
        <v>57</v>
      </c>
      <c r="D45" s="102" t="s">
        <v>167</v>
      </c>
      <c r="E45" s="30"/>
      <c r="F45" s="7"/>
      <c r="G45" s="7"/>
      <c r="H45" s="7"/>
      <c r="I45" s="7"/>
      <c r="J45" s="7"/>
      <c r="K45" s="7"/>
      <c r="L45" s="7"/>
      <c r="M45" s="7"/>
      <c r="N45" s="125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>
      <c r="A46" s="92" t="s">
        <v>0</v>
      </c>
      <c r="B46" s="92" t="s">
        <v>1</v>
      </c>
      <c r="C46" s="92" t="s">
        <v>2</v>
      </c>
      <c r="D46" s="92" t="s">
        <v>3</v>
      </c>
      <c r="E46" s="152"/>
      <c r="F46" s="92" t="s">
        <v>5</v>
      </c>
      <c r="G46" s="92" t="s">
        <v>6</v>
      </c>
      <c r="H46" s="105" t="s">
        <v>7</v>
      </c>
      <c r="I46" s="9" t="s">
        <v>8</v>
      </c>
      <c r="J46" s="7"/>
      <c r="K46" s="7"/>
      <c r="L46" s="7"/>
      <c r="M46" s="7"/>
      <c r="N46" s="125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>
      <c r="A47" s="110"/>
      <c r="B47" s="106" t="s">
        <v>66</v>
      </c>
      <c r="C47" s="106" t="s">
        <v>10</v>
      </c>
      <c r="D47" s="106" t="s">
        <v>17</v>
      </c>
      <c r="E47" s="106" t="s">
        <v>18</v>
      </c>
      <c r="F47" s="106" t="s">
        <v>19</v>
      </c>
      <c r="G47" s="106" t="s">
        <v>69</v>
      </c>
      <c r="H47" s="108">
        <f>P11</f>
        <v>1319.89106</v>
      </c>
      <c r="I47" s="106">
        <v>300008.0</v>
      </c>
      <c r="J47" s="7"/>
      <c r="K47" s="7"/>
      <c r="L47" s="7"/>
      <c r="M47" s="7"/>
      <c r="N47" s="125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>
      <c r="A48" s="110"/>
      <c r="B48" s="106" t="s">
        <v>66</v>
      </c>
      <c r="C48" s="106" t="s">
        <v>10</v>
      </c>
      <c r="D48" s="106" t="s">
        <v>15</v>
      </c>
      <c r="E48" s="106" t="s">
        <v>12</v>
      </c>
      <c r="F48" s="106" t="s">
        <v>13</v>
      </c>
      <c r="G48" s="106" t="s">
        <v>69</v>
      </c>
      <c r="H48" s="108">
        <f>H47</f>
        <v>1319.89106</v>
      </c>
      <c r="I48" s="106">
        <v>100035.0</v>
      </c>
      <c r="J48" s="7"/>
      <c r="K48" s="7"/>
      <c r="L48" s="7"/>
      <c r="M48" s="7"/>
      <c r="N48" s="125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125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125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>
      <c r="A51" s="7"/>
      <c r="B51" s="96" t="s">
        <v>134</v>
      </c>
      <c r="C51" s="112" t="s">
        <v>314</v>
      </c>
      <c r="D51" s="151"/>
      <c r="E51" s="7"/>
      <c r="F51" s="7"/>
      <c r="G51" s="7"/>
      <c r="H51" s="7"/>
      <c r="I51" s="7"/>
      <c r="J51" s="7"/>
      <c r="K51" s="7"/>
      <c r="L51" s="7"/>
      <c r="M51" s="7"/>
      <c r="N51" s="125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>
      <c r="A52" s="7"/>
      <c r="B52" s="7"/>
      <c r="C52" s="101" t="s">
        <v>57</v>
      </c>
      <c r="D52" s="102" t="s">
        <v>167</v>
      </c>
      <c r="E52" s="30"/>
      <c r="F52" s="7"/>
      <c r="G52" s="7"/>
      <c r="H52" s="7"/>
      <c r="I52" s="7"/>
      <c r="J52" s="7"/>
      <c r="K52" s="7"/>
      <c r="L52" s="7"/>
      <c r="M52" s="7"/>
      <c r="N52" s="125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>
      <c r="A53" s="92" t="s">
        <v>0</v>
      </c>
      <c r="B53" s="92" t="s">
        <v>1</v>
      </c>
      <c r="C53" s="92" t="s">
        <v>2</v>
      </c>
      <c r="D53" s="92" t="s">
        <v>3</v>
      </c>
      <c r="E53" s="152"/>
      <c r="F53" s="92" t="s">
        <v>5</v>
      </c>
      <c r="G53" s="92" t="s">
        <v>6</v>
      </c>
      <c r="H53" s="105" t="s">
        <v>7</v>
      </c>
      <c r="I53" s="9" t="s">
        <v>8</v>
      </c>
      <c r="J53" s="7"/>
      <c r="K53" s="7"/>
      <c r="L53" s="7"/>
      <c r="M53" s="7"/>
      <c r="N53" s="125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>
      <c r="A54" s="110"/>
      <c r="B54" s="106" t="s">
        <v>66</v>
      </c>
      <c r="C54" s="106" t="s">
        <v>10</v>
      </c>
      <c r="D54" s="106" t="s">
        <v>17</v>
      </c>
      <c r="E54" s="106" t="s">
        <v>18</v>
      </c>
      <c r="F54" s="106" t="s">
        <v>19</v>
      </c>
      <c r="G54" s="106" t="s">
        <v>69</v>
      </c>
      <c r="H54" s="108">
        <f>P12</f>
        <v>170.3085238</v>
      </c>
      <c r="I54" s="106">
        <v>300008.0</v>
      </c>
      <c r="J54" s="7"/>
      <c r="K54" s="7"/>
      <c r="L54" s="7"/>
      <c r="M54" s="7"/>
      <c r="N54" s="125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>
      <c r="A55" s="110"/>
      <c r="B55" s="106" t="s">
        <v>66</v>
      </c>
      <c r="C55" s="106" t="s">
        <v>10</v>
      </c>
      <c r="D55" s="106" t="s">
        <v>15</v>
      </c>
      <c r="E55" s="106" t="s">
        <v>12</v>
      </c>
      <c r="F55" s="106" t="s">
        <v>13</v>
      </c>
      <c r="G55" s="106" t="s">
        <v>69</v>
      </c>
      <c r="H55" s="108">
        <f>H54</f>
        <v>170.3085238</v>
      </c>
      <c r="I55" s="106">
        <v>100035.0</v>
      </c>
      <c r="J55" s="7"/>
      <c r="K55" s="7"/>
      <c r="L55" s="7"/>
      <c r="M55" s="7"/>
      <c r="N55" s="125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125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125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125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125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>
      <c r="A60" s="7"/>
      <c r="B60" s="7"/>
      <c r="C60" s="101" t="s">
        <v>57</v>
      </c>
      <c r="D60" s="138" t="s">
        <v>292</v>
      </c>
      <c r="E60" s="30"/>
      <c r="F60" s="34" t="s">
        <v>187</v>
      </c>
      <c r="H60" s="7"/>
      <c r="I60" s="7"/>
      <c r="J60" s="7"/>
      <c r="K60" s="7"/>
      <c r="L60" s="7"/>
      <c r="M60" s="7"/>
      <c r="N60" s="125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>
      <c r="A61" s="92" t="s">
        <v>0</v>
      </c>
      <c r="B61" s="92" t="s">
        <v>1</v>
      </c>
      <c r="C61" s="92" t="s">
        <v>2</v>
      </c>
      <c r="D61" s="92" t="s">
        <v>3</v>
      </c>
      <c r="E61" s="92" t="s">
        <v>4</v>
      </c>
      <c r="F61" s="92" t="s">
        <v>5</v>
      </c>
      <c r="G61" s="92" t="s">
        <v>6</v>
      </c>
      <c r="H61" s="92" t="s">
        <v>7</v>
      </c>
      <c r="I61" s="9" t="s">
        <v>8</v>
      </c>
      <c r="J61" s="7"/>
      <c r="K61" s="7"/>
      <c r="L61" s="7"/>
      <c r="M61" s="7"/>
      <c r="N61" s="125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>
      <c r="A62" s="106">
        <v>3.0</v>
      </c>
      <c r="B62" s="106" t="s">
        <v>292</v>
      </c>
      <c r="C62" s="106" t="s">
        <v>10</v>
      </c>
      <c r="D62" s="106" t="str">
        <f t="shared" ref="D62:E62" si="4">D27</f>
        <v>Invoice Discounting - Clearing</v>
      </c>
      <c r="E62" s="106" t="str">
        <f t="shared" si="4"/>
        <v>Current Liability</v>
      </c>
      <c r="F62" s="106" t="s">
        <v>13</v>
      </c>
      <c r="G62" s="106" t="s">
        <v>90</v>
      </c>
      <c r="H62" s="108">
        <f>H63+H64</f>
        <v>86336.96</v>
      </c>
      <c r="I62" s="106">
        <f>I27</f>
        <v>200086</v>
      </c>
      <c r="J62" s="11" t="s">
        <v>293</v>
      </c>
      <c r="K62" s="7"/>
      <c r="L62" s="7"/>
      <c r="M62" s="7"/>
      <c r="N62" s="125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>
      <c r="A63" s="106">
        <v>3.0</v>
      </c>
      <c r="B63" s="106" t="s">
        <v>292</v>
      </c>
      <c r="C63" s="106" t="s">
        <v>10</v>
      </c>
      <c r="D63" s="106" t="s">
        <v>15</v>
      </c>
      <c r="E63" s="106" t="s">
        <v>12</v>
      </c>
      <c r="F63" s="106" t="s">
        <v>19</v>
      </c>
      <c r="G63" s="110"/>
      <c r="H63" s="108">
        <f>T5</f>
        <v>3831.941786</v>
      </c>
      <c r="I63" s="106">
        <v>100035.0</v>
      </c>
      <c r="J63" s="139" t="s">
        <v>294</v>
      </c>
      <c r="K63" s="7"/>
      <c r="L63" s="7"/>
      <c r="M63" s="7"/>
      <c r="N63" s="125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>
      <c r="A64" s="106">
        <v>3.0</v>
      </c>
      <c r="B64" s="106" t="s">
        <v>292</v>
      </c>
      <c r="C64" s="106" t="s">
        <v>10</v>
      </c>
      <c r="D64" s="106" t="s">
        <v>11</v>
      </c>
      <c r="E64" s="106" t="s">
        <v>12</v>
      </c>
      <c r="F64" s="106" t="s">
        <v>19</v>
      </c>
      <c r="G64" s="110"/>
      <c r="H64" s="108">
        <f>U5</f>
        <v>82505.01821</v>
      </c>
      <c r="I64" s="106">
        <v>100032.0</v>
      </c>
      <c r="J64" s="89"/>
      <c r="K64" s="7"/>
      <c r="L64" s="7"/>
      <c r="M64" s="7"/>
      <c r="N64" s="125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>
      <c r="A65" s="89"/>
      <c r="B65" s="89"/>
      <c r="C65" s="89"/>
      <c r="D65" s="89"/>
      <c r="E65" s="89"/>
      <c r="F65" s="89"/>
      <c r="G65" s="89"/>
      <c r="H65" s="89"/>
      <c r="I65" s="89"/>
      <c r="J65" s="7"/>
      <c r="K65" s="7"/>
      <c r="L65" s="7"/>
      <c r="M65" s="7"/>
      <c r="N65" s="125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>
      <c r="A66" s="89"/>
      <c r="B66" s="89"/>
      <c r="C66" s="89"/>
      <c r="D66" s="89"/>
      <c r="E66" s="89"/>
      <c r="F66" s="89"/>
      <c r="G66" s="89"/>
      <c r="H66" s="89"/>
      <c r="I66" s="89"/>
      <c r="J66" s="7"/>
      <c r="K66" s="7"/>
      <c r="L66" s="7"/>
      <c r="M66" s="7"/>
      <c r="N66" s="125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>
      <c r="A67" s="140" t="s">
        <v>295</v>
      </c>
      <c r="B67" s="89"/>
      <c r="C67" s="140" t="s">
        <v>296</v>
      </c>
      <c r="D67" s="89"/>
      <c r="E67" s="89"/>
      <c r="F67" s="89"/>
      <c r="G67" s="89"/>
      <c r="H67" s="89"/>
      <c r="I67" s="89"/>
      <c r="J67" s="7"/>
      <c r="K67" s="7"/>
      <c r="L67" s="7"/>
      <c r="M67" s="7"/>
      <c r="N67" s="125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125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>
      <c r="A69" s="7"/>
      <c r="B69" s="43" t="s">
        <v>297</v>
      </c>
      <c r="C69" s="101" t="s">
        <v>57</v>
      </c>
      <c r="D69" s="102" t="s">
        <v>86</v>
      </c>
      <c r="F69" s="7"/>
      <c r="G69" s="7"/>
      <c r="H69" s="7"/>
      <c r="I69" s="7"/>
      <c r="J69" s="7"/>
      <c r="K69" s="7"/>
      <c r="L69" s="7"/>
      <c r="M69" s="7"/>
      <c r="N69" s="125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>
      <c r="A70" s="92" t="s">
        <v>0</v>
      </c>
      <c r="B70" s="92" t="s">
        <v>1</v>
      </c>
      <c r="C70" s="92" t="s">
        <v>2</v>
      </c>
      <c r="D70" s="92" t="s">
        <v>3</v>
      </c>
      <c r="E70" s="92" t="s">
        <v>4</v>
      </c>
      <c r="F70" s="92" t="s">
        <v>5</v>
      </c>
      <c r="G70" s="92" t="s">
        <v>6</v>
      </c>
      <c r="H70" s="92" t="s">
        <v>7</v>
      </c>
      <c r="I70" s="9" t="s">
        <v>8</v>
      </c>
      <c r="J70" s="7"/>
      <c r="K70" s="7"/>
      <c r="L70" s="7"/>
      <c r="M70" s="7"/>
      <c r="N70" s="125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>
      <c r="A71" s="106">
        <v>4.0</v>
      </c>
      <c r="B71" s="106" t="s">
        <v>52</v>
      </c>
      <c r="C71" s="106" t="s">
        <v>10</v>
      </c>
      <c r="D71" s="106" t="str">
        <f t="shared" ref="D71:E71" si="5">D62</f>
        <v>Invoice Discounting - Clearing</v>
      </c>
      <c r="E71" s="106" t="str">
        <f t="shared" si="5"/>
        <v>Current Liability</v>
      </c>
      <c r="F71" s="106" t="s">
        <v>13</v>
      </c>
      <c r="G71" s="106" t="s">
        <v>90</v>
      </c>
      <c r="H71" s="108">
        <f>H73+H74+H75</f>
        <v>86620.80754</v>
      </c>
      <c r="I71" s="106">
        <f>I62</f>
        <v>200086</v>
      </c>
      <c r="J71" s="7"/>
      <c r="K71" s="7"/>
      <c r="L71" s="7"/>
      <c r="M71" s="7"/>
      <c r="N71" s="125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>
      <c r="A72" s="106">
        <v>4.0</v>
      </c>
      <c r="B72" s="106" t="s">
        <v>66</v>
      </c>
      <c r="C72" s="106" t="s">
        <v>10</v>
      </c>
      <c r="D72" s="106" t="s">
        <v>298</v>
      </c>
      <c r="E72" s="106" t="s">
        <v>12</v>
      </c>
      <c r="F72" s="106" t="s">
        <v>19</v>
      </c>
      <c r="G72" s="110"/>
      <c r="H72" s="141">
        <f>AA12</f>
        <v>283.8475397</v>
      </c>
      <c r="I72" s="106">
        <v>100030.0</v>
      </c>
      <c r="J72" s="7"/>
      <c r="K72" s="7"/>
      <c r="L72" s="7"/>
      <c r="M72" s="7"/>
      <c r="N72" s="125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>
      <c r="A73" s="106">
        <v>4.0</v>
      </c>
      <c r="B73" s="106" t="s">
        <v>66</v>
      </c>
      <c r="C73" s="106" t="s">
        <v>10</v>
      </c>
      <c r="D73" s="106" t="s">
        <v>15</v>
      </c>
      <c r="E73" s="106" t="s">
        <v>12</v>
      </c>
      <c r="F73" s="106" t="s">
        <v>19</v>
      </c>
      <c r="G73" s="110"/>
      <c r="H73" s="108">
        <f>T18</f>
        <v>3831.941786</v>
      </c>
      <c r="I73" s="106">
        <v>100035.0</v>
      </c>
      <c r="J73" s="7"/>
      <c r="K73" s="7"/>
      <c r="L73" s="7"/>
      <c r="M73" s="7"/>
      <c r="N73" s="125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>
      <c r="A74" s="106">
        <v>4.0</v>
      </c>
      <c r="B74" s="106" t="s">
        <v>52</v>
      </c>
      <c r="C74" s="106" t="s">
        <v>10</v>
      </c>
      <c r="D74" s="106" t="s">
        <v>299</v>
      </c>
      <c r="E74" s="106" t="s">
        <v>12</v>
      </c>
      <c r="F74" s="106" t="s">
        <v>19</v>
      </c>
      <c r="G74" s="110"/>
      <c r="H74" s="108">
        <f>U18</f>
        <v>82505.01821</v>
      </c>
      <c r="I74" s="106">
        <v>100032.0</v>
      </c>
      <c r="J74" s="7"/>
      <c r="K74" s="7"/>
      <c r="L74" s="7"/>
      <c r="M74" s="7"/>
      <c r="N74" s="125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>
      <c r="A75" s="106">
        <v>4.0</v>
      </c>
      <c r="B75" s="106" t="s">
        <v>66</v>
      </c>
      <c r="C75" s="106" t="s">
        <v>10</v>
      </c>
      <c r="D75" s="106" t="s">
        <v>17</v>
      </c>
      <c r="E75" s="106" t="s">
        <v>18</v>
      </c>
      <c r="F75" s="106" t="s">
        <v>19</v>
      </c>
      <c r="G75" s="110"/>
      <c r="H75" s="108">
        <f>AA12</f>
        <v>283.8475397</v>
      </c>
      <c r="I75" s="106">
        <v>300008.0</v>
      </c>
      <c r="J75" s="7"/>
      <c r="K75" s="7"/>
      <c r="L75" s="7"/>
      <c r="M75" s="7"/>
      <c r="N75" s="125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>
      <c r="A76" s="106">
        <v>4.0</v>
      </c>
      <c r="B76" s="106" t="s">
        <v>66</v>
      </c>
      <c r="C76" s="106" t="s">
        <v>10</v>
      </c>
      <c r="D76" s="106" t="s">
        <v>298</v>
      </c>
      <c r="E76" s="106" t="s">
        <v>12</v>
      </c>
      <c r="F76" s="106" t="s">
        <v>13</v>
      </c>
      <c r="G76" s="110"/>
      <c r="H76" s="141">
        <v>283.85</v>
      </c>
      <c r="I76" s="106">
        <v>100030.0</v>
      </c>
      <c r="J76" s="7"/>
      <c r="K76" s="7"/>
      <c r="L76" s="7"/>
      <c r="M76" s="7"/>
      <c r="N76" s="125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>
      <c r="A77" s="43" t="s">
        <v>300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125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>
      <c r="A78" s="89"/>
      <c r="B78" s="89"/>
      <c r="C78" s="89"/>
      <c r="D78" s="89"/>
      <c r="E78" s="89"/>
      <c r="F78" s="89"/>
      <c r="G78" s="89"/>
      <c r="H78" s="89"/>
      <c r="I78" s="89"/>
      <c r="J78" s="7"/>
      <c r="K78" s="7"/>
      <c r="L78" s="7"/>
      <c r="M78" s="7"/>
      <c r="N78" s="125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>
      <c r="A79" s="89"/>
      <c r="B79" s="89"/>
      <c r="C79" s="89"/>
      <c r="D79" s="89"/>
      <c r="E79" s="89"/>
      <c r="F79" s="89"/>
      <c r="G79" s="89"/>
      <c r="H79" s="89"/>
      <c r="I79" s="89"/>
      <c r="J79" s="7"/>
      <c r="K79" s="7"/>
      <c r="L79" s="7"/>
      <c r="M79" s="7"/>
      <c r="N79" s="125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142" t="s">
        <v>301</v>
      </c>
      <c r="B80" s="89"/>
      <c r="C80" s="89"/>
      <c r="D80" s="89"/>
      <c r="E80" s="89"/>
      <c r="F80" s="89"/>
      <c r="G80" s="89"/>
      <c r="H80" s="89"/>
      <c r="I80" s="89"/>
      <c r="J80" s="7"/>
      <c r="K80" s="7"/>
      <c r="L80" s="7"/>
      <c r="M80" s="7"/>
      <c r="N80" s="125"/>
      <c r="O80" s="7"/>
      <c r="P80" s="7"/>
      <c r="Q80" s="7"/>
      <c r="R80" s="7"/>
      <c r="S80" s="7"/>
      <c r="T80" s="7"/>
      <c r="U80" s="7"/>
      <c r="V80" s="7"/>
      <c r="W80" s="7"/>
    </row>
    <row r="81">
      <c r="A81" s="89"/>
      <c r="B81" s="89"/>
      <c r="C81" s="89"/>
      <c r="E81" s="89"/>
      <c r="F81" s="89"/>
      <c r="G81" s="89"/>
      <c r="H81" s="89"/>
      <c r="I81" s="89"/>
      <c r="J81" s="19">
        <f>H87-H85</f>
        <v>2384.319334</v>
      </c>
      <c r="K81" s="7"/>
      <c r="L81" s="7"/>
      <c r="M81" s="7"/>
      <c r="N81" s="125"/>
      <c r="O81" s="7"/>
      <c r="P81" s="7"/>
      <c r="Q81" s="7"/>
      <c r="R81" s="7"/>
      <c r="S81" s="7"/>
      <c r="T81" s="7"/>
      <c r="U81" s="7"/>
      <c r="V81" s="7"/>
      <c r="W81" s="7"/>
    </row>
    <row r="82">
      <c r="A82" s="7"/>
      <c r="B82" s="43" t="s">
        <v>297</v>
      </c>
      <c r="C82" s="101" t="s">
        <v>57</v>
      </c>
      <c r="D82" s="102" t="s">
        <v>86</v>
      </c>
      <c r="F82" s="7"/>
      <c r="G82" s="7"/>
      <c r="H82" s="7"/>
      <c r="I82" s="7"/>
      <c r="J82" s="7"/>
      <c r="K82" s="7"/>
      <c r="L82" s="7"/>
      <c r="M82" s="7"/>
      <c r="N82" s="125"/>
      <c r="O82" s="7"/>
      <c r="P82" s="7"/>
      <c r="Q82" s="7"/>
      <c r="R82" s="7"/>
      <c r="S82" s="7"/>
      <c r="T82" s="7"/>
      <c r="U82" s="7"/>
      <c r="V82" s="7"/>
      <c r="W82" s="7"/>
    </row>
    <row r="83">
      <c r="A83" s="92" t="s">
        <v>0</v>
      </c>
      <c r="B83" s="92" t="s">
        <v>1</v>
      </c>
      <c r="C83" s="92" t="s">
        <v>2</v>
      </c>
      <c r="D83" s="92" t="s">
        <v>3</v>
      </c>
      <c r="E83" s="92" t="s">
        <v>4</v>
      </c>
      <c r="F83" s="92" t="s">
        <v>5</v>
      </c>
      <c r="G83" s="92" t="s">
        <v>6</v>
      </c>
      <c r="H83" s="92" t="s">
        <v>7</v>
      </c>
      <c r="I83" s="9" t="s">
        <v>8</v>
      </c>
      <c r="J83" s="7"/>
      <c r="K83" s="7"/>
      <c r="L83" s="7"/>
      <c r="M83" s="7"/>
      <c r="N83" s="125"/>
      <c r="O83" s="7"/>
      <c r="P83" s="7"/>
      <c r="Q83" s="7"/>
      <c r="R83" s="7"/>
      <c r="S83" s="7"/>
      <c r="T83" s="7"/>
      <c r="U83" s="7"/>
      <c r="V83" s="7"/>
      <c r="W83" s="7"/>
    </row>
    <row r="84">
      <c r="A84" s="106">
        <v>5.0</v>
      </c>
      <c r="B84" s="106" t="s">
        <v>52</v>
      </c>
      <c r="C84" s="106" t="s">
        <v>10</v>
      </c>
      <c r="D84" s="106" t="str">
        <f t="shared" ref="D84:E84" si="6">D71</f>
        <v>Invoice Discounting - Clearing</v>
      </c>
      <c r="E84" s="106" t="str">
        <f t="shared" si="6"/>
        <v>Current Liability</v>
      </c>
      <c r="F84" s="106" t="s">
        <v>13</v>
      </c>
      <c r="G84" s="110"/>
      <c r="H84" s="143">
        <f>H86+H87+H88+H89-H85</f>
        <v>93365.62</v>
      </c>
      <c r="I84" s="106">
        <f>I71</f>
        <v>200086</v>
      </c>
      <c r="J84" s="19">
        <f>K84</f>
        <v>93365.62</v>
      </c>
      <c r="K84" s="19">
        <v>93365.62</v>
      </c>
      <c r="L84" s="7"/>
      <c r="M84" s="7"/>
      <c r="N84" s="125"/>
      <c r="O84" s="7"/>
      <c r="P84" s="7"/>
      <c r="Q84" s="7"/>
      <c r="R84" s="7"/>
      <c r="S84" s="7"/>
      <c r="T84" s="7"/>
      <c r="U84" s="7"/>
      <c r="V84" s="7"/>
      <c r="W84" s="7"/>
    </row>
    <row r="85">
      <c r="A85" s="106">
        <v>5.0</v>
      </c>
      <c r="B85" s="106" t="s">
        <v>66</v>
      </c>
      <c r="C85" s="106" t="s">
        <v>10</v>
      </c>
      <c r="D85" s="106" t="s">
        <v>17</v>
      </c>
      <c r="E85" s="106" t="s">
        <v>18</v>
      </c>
      <c r="F85" s="106" t="s">
        <v>13</v>
      </c>
      <c r="G85" s="110"/>
      <c r="H85" s="143">
        <f>AA17</f>
        <v>1447.622453</v>
      </c>
      <c r="I85" s="106">
        <v>300008.0</v>
      </c>
      <c r="J85" s="11"/>
      <c r="K85" s="19">
        <v>1447.6224526027395</v>
      </c>
      <c r="L85" s="7"/>
    </row>
    <row r="86">
      <c r="A86" s="106">
        <v>5.0</v>
      </c>
      <c r="B86" s="106" t="s">
        <v>52</v>
      </c>
      <c r="C86" s="106" t="s">
        <v>10</v>
      </c>
      <c r="D86" s="106" t="s">
        <v>303</v>
      </c>
      <c r="E86" s="106" t="s">
        <v>12</v>
      </c>
      <c r="F86" s="106" t="s">
        <v>19</v>
      </c>
      <c r="G86" s="110"/>
      <c r="H86" s="143">
        <f>U23</f>
        <v>82505.01821</v>
      </c>
      <c r="I86" s="106">
        <v>100032.0</v>
      </c>
      <c r="J86" s="19">
        <f>K86</f>
        <v>82505.01821</v>
      </c>
      <c r="K86" s="19">
        <v>82505.01821369864</v>
      </c>
      <c r="L86" s="7"/>
    </row>
    <row r="87">
      <c r="A87" s="106">
        <v>5.0</v>
      </c>
      <c r="B87" s="106" t="s">
        <v>52</v>
      </c>
      <c r="C87" s="106" t="s">
        <v>10</v>
      </c>
      <c r="D87" s="106" t="s">
        <v>15</v>
      </c>
      <c r="E87" s="106" t="s">
        <v>12</v>
      </c>
      <c r="F87" s="106" t="s">
        <v>19</v>
      </c>
      <c r="G87" s="110"/>
      <c r="H87" s="143">
        <f>T23</f>
        <v>3831.941786</v>
      </c>
      <c r="I87" s="106">
        <v>100035.0</v>
      </c>
      <c r="J87" s="19">
        <f>J81</f>
        <v>2384.319334</v>
      </c>
      <c r="K87" s="19">
        <v>3831.9417863013696</v>
      </c>
      <c r="L87" s="7"/>
    </row>
    <row r="88">
      <c r="A88" s="106">
        <v>5.0</v>
      </c>
      <c r="B88" s="106" t="s">
        <v>83</v>
      </c>
      <c r="C88" s="106" t="s">
        <v>10</v>
      </c>
      <c r="D88" s="106" t="s">
        <v>152</v>
      </c>
      <c r="E88" s="106" t="s">
        <v>22</v>
      </c>
      <c r="F88" s="106" t="s">
        <v>19</v>
      </c>
      <c r="G88" s="110"/>
      <c r="H88" s="143">
        <f>AB17</f>
        <v>7028.66</v>
      </c>
      <c r="I88" s="106">
        <v>200078.0</v>
      </c>
      <c r="J88" s="19">
        <f>K84-J86-J87-J89</f>
        <v>7028.66</v>
      </c>
      <c r="K88" s="19">
        <v>7028.659999999989</v>
      </c>
      <c r="L88" s="7"/>
    </row>
    <row r="89">
      <c r="A89" s="106">
        <v>5.0</v>
      </c>
      <c r="B89" s="106" t="s">
        <v>83</v>
      </c>
      <c r="C89" s="106" t="s">
        <v>10</v>
      </c>
      <c r="D89" s="106" t="s">
        <v>304</v>
      </c>
      <c r="E89" s="106" t="s">
        <v>22</v>
      </c>
      <c r="F89" s="106" t="s">
        <v>19</v>
      </c>
      <c r="G89" s="110"/>
      <c r="H89" s="143">
        <f>AA17</f>
        <v>1447.622453</v>
      </c>
      <c r="I89" s="106">
        <v>200079.0</v>
      </c>
      <c r="J89" s="153">
        <f>K87-J81</f>
        <v>1447.622453</v>
      </c>
      <c r="K89" s="19">
        <v>1447.6224526027395</v>
      </c>
      <c r="L89" s="7"/>
    </row>
    <row r="90">
      <c r="A90" s="144"/>
      <c r="B90" s="144"/>
      <c r="C90" s="144"/>
      <c r="D90" s="144"/>
      <c r="E90" s="144"/>
      <c r="F90" s="144"/>
      <c r="G90" s="144"/>
      <c r="H90" s="144"/>
      <c r="I90" s="144"/>
      <c r="J90" s="7"/>
      <c r="K90" s="7"/>
      <c r="L90" s="7"/>
    </row>
    <row r="91">
      <c r="A91" s="145" t="s">
        <v>305</v>
      </c>
      <c r="B91" s="89"/>
      <c r="C91" s="89"/>
      <c r="D91" s="89"/>
      <c r="E91" s="89"/>
      <c r="F91" s="89"/>
      <c r="G91" s="89"/>
      <c r="H91" s="89"/>
      <c r="I91" s="144"/>
      <c r="J91" s="7"/>
      <c r="K91" s="7"/>
      <c r="L91" s="7"/>
    </row>
    <row r="92">
      <c r="A92" s="142" t="s">
        <v>41</v>
      </c>
      <c r="B92" s="146">
        <v>45903.0</v>
      </c>
      <c r="C92" s="89"/>
      <c r="D92" s="89"/>
      <c r="E92" s="89"/>
      <c r="F92" s="89"/>
      <c r="G92" s="89"/>
      <c r="H92" s="89"/>
      <c r="I92" s="144"/>
      <c r="J92" s="7"/>
      <c r="K92" s="7"/>
      <c r="L92" s="7"/>
    </row>
    <row r="93">
      <c r="B93" s="43" t="s">
        <v>297</v>
      </c>
      <c r="C93" s="101" t="s">
        <v>57</v>
      </c>
      <c r="D93" s="102" t="s">
        <v>86</v>
      </c>
      <c r="F93" s="147" t="s">
        <v>306</v>
      </c>
      <c r="G93" s="7"/>
      <c r="H93" s="7"/>
      <c r="I93" s="7"/>
      <c r="J93" s="7"/>
      <c r="L93" s="7"/>
    </row>
    <row r="94">
      <c r="A94" s="92" t="s">
        <v>0</v>
      </c>
      <c r="B94" s="92" t="s">
        <v>1</v>
      </c>
      <c r="C94" s="92" t="s">
        <v>2</v>
      </c>
      <c r="D94" s="92" t="s">
        <v>3</v>
      </c>
      <c r="E94" s="92" t="s">
        <v>4</v>
      </c>
      <c r="F94" s="92" t="s">
        <v>5</v>
      </c>
      <c r="G94" s="92" t="s">
        <v>6</v>
      </c>
      <c r="H94" s="92" t="s">
        <v>7</v>
      </c>
      <c r="I94" s="9" t="s">
        <v>8</v>
      </c>
      <c r="J94" s="7"/>
      <c r="L94" s="7"/>
    </row>
    <row r="95">
      <c r="A95" s="106">
        <v>6.0</v>
      </c>
      <c r="B95" s="106" t="s">
        <v>52</v>
      </c>
      <c r="C95" s="106" t="s">
        <v>10</v>
      </c>
      <c r="D95" s="106" t="s">
        <v>155</v>
      </c>
      <c r="E95" s="106" t="s">
        <v>156</v>
      </c>
      <c r="F95" s="106" t="s">
        <v>13</v>
      </c>
      <c r="G95" s="106" t="s">
        <v>156</v>
      </c>
      <c r="H95" s="108">
        <f>H96</f>
        <v>82505.01821</v>
      </c>
      <c r="I95" s="106">
        <v>400041.0</v>
      </c>
      <c r="J95" s="7"/>
      <c r="L95" s="7"/>
    </row>
    <row r="96">
      <c r="A96" s="106">
        <v>6.0</v>
      </c>
      <c r="B96" s="106" t="s">
        <v>52</v>
      </c>
      <c r="C96" s="106" t="s">
        <v>10</v>
      </c>
      <c r="D96" s="106" t="s">
        <v>299</v>
      </c>
      <c r="E96" s="106" t="s">
        <v>12</v>
      </c>
      <c r="F96" s="106" t="s">
        <v>19</v>
      </c>
      <c r="G96" s="110"/>
      <c r="H96" s="108">
        <f>U23</f>
        <v>82505.01821</v>
      </c>
      <c r="I96" s="106">
        <v>100032.0</v>
      </c>
      <c r="J96" s="7"/>
      <c r="L96" s="7"/>
    </row>
    <row r="97">
      <c r="A97" s="145"/>
      <c r="B97" s="89"/>
      <c r="C97" s="89"/>
      <c r="D97" s="89"/>
      <c r="E97" s="89"/>
      <c r="F97" s="89"/>
      <c r="G97" s="89"/>
      <c r="H97" s="89"/>
      <c r="I97" s="89"/>
      <c r="J97" s="7"/>
      <c r="L97" s="7"/>
    </row>
    <row r="98">
      <c r="A98" s="145" t="s">
        <v>307</v>
      </c>
      <c r="B98" s="89"/>
      <c r="C98" s="89"/>
      <c r="D98" s="89"/>
      <c r="E98" s="89"/>
      <c r="F98" s="89"/>
      <c r="G98" s="89"/>
      <c r="H98" s="89"/>
      <c r="I98" s="89"/>
      <c r="J98" s="7"/>
      <c r="L98" s="7"/>
    </row>
    <row r="99">
      <c r="A99" s="142" t="s">
        <v>41</v>
      </c>
      <c r="B99" s="146">
        <v>45903.0</v>
      </c>
      <c r="C99" s="144"/>
      <c r="D99" s="144"/>
      <c r="E99" s="144"/>
      <c r="F99" s="144"/>
      <c r="G99" s="144"/>
      <c r="H99" s="148"/>
      <c r="I99" s="89"/>
      <c r="J99" s="7"/>
    </row>
    <row r="100">
      <c r="A100" s="7"/>
      <c r="B100" s="43" t="s">
        <v>297</v>
      </c>
      <c r="C100" s="101" t="s">
        <v>57</v>
      </c>
      <c r="D100" s="102" t="s">
        <v>86</v>
      </c>
      <c r="F100" s="147" t="s">
        <v>308</v>
      </c>
      <c r="G100" s="7"/>
      <c r="H100" s="7"/>
      <c r="I100" s="7"/>
      <c r="J100" s="7"/>
    </row>
    <row r="101">
      <c r="A101" s="92" t="s">
        <v>0</v>
      </c>
      <c r="B101" s="92" t="s">
        <v>1</v>
      </c>
      <c r="C101" s="92" t="s">
        <v>2</v>
      </c>
      <c r="D101" s="92" t="s">
        <v>3</v>
      </c>
      <c r="E101" s="92" t="s">
        <v>4</v>
      </c>
      <c r="F101" s="92" t="s">
        <v>5</v>
      </c>
      <c r="G101" s="92" t="s">
        <v>6</v>
      </c>
      <c r="H101" s="92" t="s">
        <v>7</v>
      </c>
      <c r="I101" s="9" t="s">
        <v>8</v>
      </c>
      <c r="J101" s="7"/>
    </row>
    <row r="102">
      <c r="A102" s="106">
        <v>7.0</v>
      </c>
      <c r="B102" s="106" t="s">
        <v>52</v>
      </c>
      <c r="C102" s="106" t="s">
        <v>10</v>
      </c>
      <c r="D102" s="106" t="s">
        <v>155</v>
      </c>
      <c r="E102" s="106" t="s">
        <v>156</v>
      </c>
      <c r="F102" s="106" t="s">
        <v>13</v>
      </c>
      <c r="G102" s="106" t="s">
        <v>156</v>
      </c>
      <c r="H102" s="108">
        <f>V23/2</f>
        <v>43168.48</v>
      </c>
      <c r="I102" s="106">
        <v>400041.0</v>
      </c>
      <c r="J102" s="7"/>
    </row>
    <row r="103">
      <c r="A103" s="106">
        <v>7.0</v>
      </c>
      <c r="B103" s="106" t="s">
        <v>52</v>
      </c>
      <c r="C103" s="106" t="s">
        <v>10</v>
      </c>
      <c r="D103" s="106" t="s">
        <v>299</v>
      </c>
      <c r="E103" s="106" t="s">
        <v>12</v>
      </c>
      <c r="F103" s="106" t="s">
        <v>19</v>
      </c>
      <c r="G103" s="110"/>
      <c r="H103" s="108">
        <f>H102</f>
        <v>43168.48</v>
      </c>
      <c r="I103" s="106">
        <v>100032.0</v>
      </c>
      <c r="J103" s="7"/>
    </row>
    <row r="104">
      <c r="A104" s="89"/>
      <c r="B104" s="89"/>
      <c r="C104" s="89"/>
      <c r="D104" s="89"/>
      <c r="E104" s="89"/>
      <c r="F104" s="89"/>
      <c r="G104" s="89"/>
      <c r="H104" s="89"/>
      <c r="I104" s="89"/>
      <c r="J104" s="7"/>
    </row>
  </sheetData>
  <mergeCells count="8">
    <mergeCell ref="A1:C1"/>
    <mergeCell ref="F12:G12"/>
    <mergeCell ref="F60:G60"/>
    <mergeCell ref="D69:E69"/>
    <mergeCell ref="C81:D81"/>
    <mergeCell ref="D82:E82"/>
    <mergeCell ref="D93:E93"/>
    <mergeCell ref="D100:E10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0.13"/>
    <col customWidth="1" min="7" max="7" width="19.88"/>
  </cols>
  <sheetData>
    <row r="1">
      <c r="A1" s="91" t="s">
        <v>268</v>
      </c>
      <c r="D1" s="7"/>
      <c r="E1" s="7"/>
      <c r="F1" s="7"/>
      <c r="G1" s="7"/>
      <c r="H1" s="7"/>
      <c r="I1" s="7"/>
      <c r="J1" s="11" t="s">
        <v>315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>
      <c r="A3" s="7"/>
      <c r="B3" s="7"/>
      <c r="C3" s="101" t="s">
        <v>57</v>
      </c>
      <c r="D3" s="102" t="s">
        <v>167</v>
      </c>
      <c r="E3" s="30"/>
      <c r="F3" s="7"/>
      <c r="G3" s="7"/>
      <c r="H3" s="7"/>
      <c r="I3" s="7"/>
      <c r="J3" s="7"/>
      <c r="K3" s="7"/>
      <c r="L3" s="8" t="s">
        <v>269</v>
      </c>
      <c r="M3" s="7"/>
      <c r="N3" s="125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>
      <c r="A4" s="92" t="s">
        <v>0</v>
      </c>
      <c r="B4" s="92" t="s">
        <v>1</v>
      </c>
      <c r="C4" s="92" t="s">
        <v>2</v>
      </c>
      <c r="D4" s="92" t="s">
        <v>3</v>
      </c>
      <c r="E4" s="92" t="s">
        <v>4</v>
      </c>
      <c r="F4" s="92" t="s">
        <v>5</v>
      </c>
      <c r="G4" s="92" t="s">
        <v>6</v>
      </c>
      <c r="H4" s="92" t="s">
        <v>7</v>
      </c>
      <c r="I4" s="9" t="s">
        <v>8</v>
      </c>
      <c r="J4" s="7"/>
      <c r="K4" s="7"/>
      <c r="L4" s="126" t="s">
        <v>41</v>
      </c>
      <c r="M4" s="126" t="s">
        <v>270</v>
      </c>
      <c r="N4" s="127" t="s">
        <v>271</v>
      </c>
      <c r="O4" s="126" t="s">
        <v>272</v>
      </c>
      <c r="P4" s="126" t="s">
        <v>273</v>
      </c>
      <c r="Q4" s="126" t="s">
        <v>274</v>
      </c>
      <c r="R4" s="126" t="s">
        <v>275</v>
      </c>
      <c r="S4" s="126" t="s">
        <v>276</v>
      </c>
      <c r="T4" s="126" t="s">
        <v>125</v>
      </c>
      <c r="U4" s="154" t="s">
        <v>316</v>
      </c>
      <c r="V4" s="126" t="s">
        <v>278</v>
      </c>
      <c r="W4" s="155" t="s">
        <v>317</v>
      </c>
      <c r="X4" s="155" t="s">
        <v>250</v>
      </c>
      <c r="Y4" s="64"/>
      <c r="Z4" s="64"/>
      <c r="AA4" s="64"/>
      <c r="AB4" s="64"/>
      <c r="AC4" s="64"/>
      <c r="AD4" s="64"/>
      <c r="AE4" s="64"/>
    </row>
    <row r="5">
      <c r="A5" s="106">
        <v>1.0</v>
      </c>
      <c r="B5" s="106" t="s">
        <v>9</v>
      </c>
      <c r="C5" s="106" t="s">
        <v>10</v>
      </c>
      <c r="D5" s="106" t="s">
        <v>11</v>
      </c>
      <c r="E5" s="106" t="s">
        <v>12</v>
      </c>
      <c r="F5" s="106" t="s">
        <v>13</v>
      </c>
      <c r="G5" s="106" t="s">
        <v>14</v>
      </c>
      <c r="H5" s="93">
        <f>X5</f>
        <v>81505.01821</v>
      </c>
      <c r="I5" s="106">
        <v>100032.0</v>
      </c>
      <c r="J5" s="89"/>
      <c r="K5" s="7"/>
      <c r="L5" s="128">
        <v>45722.0</v>
      </c>
      <c r="M5" s="129">
        <f>L5+R5</f>
        <v>45812</v>
      </c>
      <c r="N5" s="130">
        <v>3.42606743E9</v>
      </c>
      <c r="O5" s="131">
        <v>45707.0</v>
      </c>
      <c r="P5" s="132" t="s">
        <v>279</v>
      </c>
      <c r="Q5" s="133">
        <v>86336.96</v>
      </c>
      <c r="R5" s="132">
        <v>90.0</v>
      </c>
      <c r="S5" s="134">
        <v>0.18</v>
      </c>
      <c r="T5" s="135">
        <f>Q5*(S5/365*R5)</f>
        <v>3831.941786</v>
      </c>
      <c r="U5" s="135">
        <f>Q5-T5</f>
        <v>82505.01821</v>
      </c>
      <c r="V5" s="135">
        <f>Q5</f>
        <v>86336.96</v>
      </c>
      <c r="W5" s="11">
        <v>1000.0</v>
      </c>
      <c r="X5" s="116">
        <f>U5-W5</f>
        <v>81505.01821</v>
      </c>
      <c r="Y5" s="7"/>
      <c r="Z5" s="7"/>
      <c r="AA5" s="7"/>
      <c r="AB5" s="7"/>
      <c r="AC5" s="7"/>
      <c r="AD5" s="7"/>
      <c r="AE5" s="7"/>
    </row>
    <row r="6">
      <c r="A6" s="106">
        <v>1.0</v>
      </c>
      <c r="B6" s="106" t="s">
        <v>9</v>
      </c>
      <c r="C6" s="106" t="s">
        <v>10</v>
      </c>
      <c r="D6" s="106" t="s">
        <v>15</v>
      </c>
      <c r="E6" s="106" t="s">
        <v>12</v>
      </c>
      <c r="F6" s="106" t="s">
        <v>13</v>
      </c>
      <c r="G6" s="106" t="s">
        <v>16</v>
      </c>
      <c r="H6" s="108">
        <f>H7</f>
        <v>3832</v>
      </c>
      <c r="I6" s="106">
        <v>100035.0</v>
      </c>
      <c r="J6" s="89"/>
      <c r="K6" s="7"/>
      <c r="L6" s="7"/>
      <c r="M6" s="7"/>
      <c r="N6" s="125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>
      <c r="A7" s="106">
        <v>1.0</v>
      </c>
      <c r="B7" s="106" t="s">
        <v>9</v>
      </c>
      <c r="C7" s="106" t="s">
        <v>10</v>
      </c>
      <c r="D7" s="109" t="s">
        <v>318</v>
      </c>
      <c r="E7" s="106" t="s">
        <v>319</v>
      </c>
      <c r="F7" s="106" t="s">
        <v>19</v>
      </c>
      <c r="G7" s="106" t="s">
        <v>20</v>
      </c>
      <c r="H7" s="93">
        <v>3832.0</v>
      </c>
      <c r="I7" s="106">
        <v>300008.0</v>
      </c>
      <c r="J7" s="139"/>
      <c r="K7" s="7"/>
      <c r="L7" s="7"/>
      <c r="M7" s="7"/>
      <c r="N7" s="125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>
      <c r="A8" s="106">
        <v>1.0</v>
      </c>
      <c r="B8" s="106" t="s">
        <v>9</v>
      </c>
      <c r="C8" s="106" t="s">
        <v>10</v>
      </c>
      <c r="D8" s="109" t="s">
        <v>320</v>
      </c>
      <c r="E8" s="106" t="s">
        <v>22</v>
      </c>
      <c r="F8" s="106" t="s">
        <v>19</v>
      </c>
      <c r="G8" s="106" t="s">
        <v>23</v>
      </c>
      <c r="H8" s="93">
        <f>X5</f>
        <v>81505.01821</v>
      </c>
      <c r="I8" s="106">
        <v>200041.0</v>
      </c>
      <c r="J8" s="11"/>
      <c r="K8" s="7"/>
      <c r="L8" s="7"/>
      <c r="M8" s="7"/>
      <c r="N8" s="7"/>
      <c r="O8" s="7"/>
      <c r="P8" s="7"/>
      <c r="Q8" s="11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>
      <c r="A9" s="106">
        <v>1.0</v>
      </c>
      <c r="B9" s="106" t="s">
        <v>9</v>
      </c>
      <c r="C9" s="106" t="s">
        <v>10</v>
      </c>
      <c r="D9" s="109" t="s">
        <v>321</v>
      </c>
      <c r="E9" s="106" t="s">
        <v>12</v>
      </c>
      <c r="F9" s="106" t="s">
        <v>13</v>
      </c>
      <c r="G9" s="109" t="s">
        <v>28</v>
      </c>
      <c r="H9" s="93">
        <f>W5</f>
        <v>1000</v>
      </c>
      <c r="I9" s="109">
        <v>100063.0</v>
      </c>
      <c r="J9" s="11"/>
      <c r="K9" s="7"/>
      <c r="L9" s="7" t="s">
        <v>112</v>
      </c>
      <c r="M9" s="7" t="s">
        <v>113</v>
      </c>
      <c r="N9" s="7" t="s">
        <v>114</v>
      </c>
      <c r="O9" s="7" t="s">
        <v>115</v>
      </c>
      <c r="P9" s="7" t="s">
        <v>116</v>
      </c>
      <c r="Q9" s="11" t="s">
        <v>309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>
      <c r="A10" s="106">
        <v>1.0</v>
      </c>
      <c r="B10" s="106" t="s">
        <v>9</v>
      </c>
      <c r="C10" s="106" t="s">
        <v>10</v>
      </c>
      <c r="D10" s="109" t="s">
        <v>36</v>
      </c>
      <c r="E10" s="106" t="s">
        <v>22</v>
      </c>
      <c r="F10" s="109" t="s">
        <v>19</v>
      </c>
      <c r="G10" s="109" t="s">
        <v>175</v>
      </c>
      <c r="H10" s="93">
        <f>H9*5%</f>
        <v>50</v>
      </c>
      <c r="I10" s="106">
        <v>200065.0</v>
      </c>
      <c r="J10" s="7"/>
      <c r="K10" s="7"/>
      <c r="L10" s="7">
        <v>1.0</v>
      </c>
      <c r="M10" s="149">
        <v>45747.0</v>
      </c>
      <c r="N10" s="116">
        <f>Q5</f>
        <v>86336.96</v>
      </c>
      <c r="O10" s="116">
        <f>N10</f>
        <v>86336.96</v>
      </c>
      <c r="P10" s="7">
        <f>Q5*S5*Q10/365</f>
        <v>1064.428274</v>
      </c>
      <c r="Q10" s="7">
        <f>M10-L5</f>
        <v>25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>
      <c r="A11" s="106">
        <v>1.0</v>
      </c>
      <c r="B11" s="106" t="s">
        <v>9</v>
      </c>
      <c r="C11" s="106" t="s">
        <v>10</v>
      </c>
      <c r="D11" s="109" t="s">
        <v>322</v>
      </c>
      <c r="E11" s="109" t="s">
        <v>18</v>
      </c>
      <c r="F11" s="106" t="s">
        <v>19</v>
      </c>
      <c r="G11" s="106" t="s">
        <v>20</v>
      </c>
      <c r="H11" s="93">
        <f>H9-H10</f>
        <v>950</v>
      </c>
      <c r="I11" s="109">
        <v>300013.0</v>
      </c>
      <c r="J11" s="7"/>
      <c r="K11" s="7"/>
      <c r="L11" s="7">
        <v>2.0</v>
      </c>
      <c r="M11" s="149">
        <v>45777.0</v>
      </c>
      <c r="N11" s="116">
        <f t="shared" ref="N11:O11" si="1">N10</f>
        <v>86336.96</v>
      </c>
      <c r="O11" s="116">
        <f t="shared" si="1"/>
        <v>86336.96</v>
      </c>
      <c r="P11" s="7">
        <f>Q5*S5*Q11/365</f>
        <v>1277.313929</v>
      </c>
      <c r="Q11" s="7">
        <f t="shared" ref="Q11:Q12" si="3">M11-M10</f>
        <v>30</v>
      </c>
      <c r="R11" s="7"/>
      <c r="S11" s="7"/>
      <c r="T11" s="7"/>
      <c r="U11" s="7"/>
      <c r="V11" s="7"/>
      <c r="W11" s="7"/>
      <c r="X11" s="7"/>
      <c r="Y11" s="7"/>
      <c r="AE11" s="64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>
        <v>3.0</v>
      </c>
      <c r="M12" s="149">
        <v>45808.0</v>
      </c>
      <c r="N12" s="116">
        <f t="shared" ref="N12:O12" si="2">N11</f>
        <v>86336.96</v>
      </c>
      <c r="O12" s="116">
        <f t="shared" si="2"/>
        <v>86336.96</v>
      </c>
      <c r="P12" s="7">
        <f>Q5*S5*Q12/365</f>
        <v>1319.89106</v>
      </c>
      <c r="Q12" s="7">
        <f t="shared" si="3"/>
        <v>31</v>
      </c>
      <c r="R12" s="7"/>
      <c r="S12" s="7"/>
      <c r="T12" s="7"/>
      <c r="U12" s="7"/>
      <c r="V12" s="7"/>
      <c r="W12" s="7"/>
      <c r="X12" s="126" t="s">
        <v>282</v>
      </c>
      <c r="Y12" s="126" t="s">
        <v>283</v>
      </c>
      <c r="Z12" s="126" t="s">
        <v>284</v>
      </c>
      <c r="AA12" s="126" t="s">
        <v>285</v>
      </c>
      <c r="AB12" s="126" t="s">
        <v>286</v>
      </c>
      <c r="AC12" s="126" t="s">
        <v>287</v>
      </c>
      <c r="AD12" s="126" t="s">
        <v>288</v>
      </c>
      <c r="AE12" s="7"/>
    </row>
    <row r="13">
      <c r="A13" s="7"/>
      <c r="B13" s="7"/>
      <c r="C13" s="101" t="s">
        <v>57</v>
      </c>
      <c r="D13" s="102" t="s">
        <v>58</v>
      </c>
      <c r="E13" s="30"/>
      <c r="F13" s="34" t="s">
        <v>187</v>
      </c>
      <c r="H13" s="7"/>
      <c r="I13" s="7"/>
      <c r="J13" s="7"/>
      <c r="K13" s="7"/>
      <c r="L13" s="7">
        <v>4.0</v>
      </c>
      <c r="M13" s="149">
        <v>45838.0</v>
      </c>
      <c r="N13" s="116">
        <f>N12</f>
        <v>86336.96</v>
      </c>
      <c r="O13" s="7">
        <v>0.0</v>
      </c>
      <c r="P13" s="7">
        <f>Q5*S5*Q13/365</f>
        <v>170.3085238</v>
      </c>
      <c r="Q13" s="7">
        <f>M5-M12</f>
        <v>4</v>
      </c>
      <c r="R13" s="7"/>
      <c r="S13" s="7"/>
      <c r="T13" s="7"/>
      <c r="U13" s="7"/>
      <c r="V13" s="7"/>
      <c r="W13" s="7"/>
      <c r="X13" s="135">
        <v>86336.96</v>
      </c>
      <c r="Y13" s="136">
        <v>45816.0</v>
      </c>
      <c r="Z13" s="132">
        <f>Y13-L19</f>
        <v>94</v>
      </c>
      <c r="AA13" s="137">
        <f>Q19*30%/365*(Z13-R19)</f>
        <v>283.8475397</v>
      </c>
      <c r="AB13" s="137">
        <f>X13-Q19</f>
        <v>0</v>
      </c>
      <c r="AC13" s="137">
        <f>AA13+T19</f>
        <v>4115.789326</v>
      </c>
      <c r="AD13" s="137">
        <v>0.0</v>
      </c>
      <c r="AE13" s="7"/>
    </row>
    <row r="14">
      <c r="A14" s="92" t="s">
        <v>0</v>
      </c>
      <c r="B14" s="92" t="s">
        <v>1</v>
      </c>
      <c r="C14" s="92" t="s">
        <v>2</v>
      </c>
      <c r="D14" s="92" t="s">
        <v>3</v>
      </c>
      <c r="E14" s="92" t="s">
        <v>4</v>
      </c>
      <c r="F14" s="92" t="s">
        <v>5</v>
      </c>
      <c r="G14" s="92" t="s">
        <v>6</v>
      </c>
      <c r="H14" s="92" t="s">
        <v>7</v>
      </c>
      <c r="I14" s="9" t="s">
        <v>8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>
      <c r="A15" s="106">
        <v>2.0</v>
      </c>
      <c r="B15" s="106" t="s">
        <v>9</v>
      </c>
      <c r="C15" s="106" t="s">
        <v>10</v>
      </c>
      <c r="D15" s="106" t="s">
        <v>21</v>
      </c>
      <c r="E15" s="106" t="s">
        <v>22</v>
      </c>
      <c r="F15" s="106" t="s">
        <v>13</v>
      </c>
      <c r="G15" s="106" t="s">
        <v>23</v>
      </c>
      <c r="H15" s="108">
        <f>X5</f>
        <v>81505.01821</v>
      </c>
      <c r="I15" s="106">
        <v>200041.0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>
      <c r="A16" s="106">
        <v>2.0</v>
      </c>
      <c r="B16" s="106" t="s">
        <v>9</v>
      </c>
      <c r="C16" s="106" t="s">
        <v>10</v>
      </c>
      <c r="D16" s="106" t="s">
        <v>60</v>
      </c>
      <c r="E16" s="106" t="s">
        <v>61</v>
      </c>
      <c r="F16" s="106" t="s">
        <v>19</v>
      </c>
      <c r="G16" s="106" t="s">
        <v>62</v>
      </c>
      <c r="H16" s="108">
        <f>H15</f>
        <v>81505.01821</v>
      </c>
      <c r="I16" s="106">
        <v>100003.0</v>
      </c>
      <c r="J16" s="7"/>
      <c r="K16" s="7"/>
      <c r="L16" s="8" t="s">
        <v>280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AE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25"/>
      <c r="O17" s="7"/>
      <c r="P17" s="7"/>
      <c r="Q17" s="7"/>
      <c r="R17" s="7"/>
      <c r="S17" s="7"/>
      <c r="T17" s="7"/>
    </row>
    <row r="18">
      <c r="A18" s="7"/>
      <c r="B18" s="7"/>
      <c r="C18" s="112" t="s">
        <v>52</v>
      </c>
      <c r="D18" s="29" t="s">
        <v>64</v>
      </c>
      <c r="E18" s="7"/>
      <c r="F18" s="7"/>
      <c r="G18" s="7"/>
      <c r="H18" s="19"/>
      <c r="I18" s="7"/>
      <c r="J18" s="7"/>
      <c r="K18" s="7"/>
      <c r="L18" s="126" t="s">
        <v>41</v>
      </c>
      <c r="M18" s="126" t="s">
        <v>270</v>
      </c>
      <c r="N18" s="127" t="s">
        <v>271</v>
      </c>
      <c r="O18" s="126" t="s">
        <v>272</v>
      </c>
      <c r="P18" s="126" t="s">
        <v>273</v>
      </c>
      <c r="Q18" s="126" t="s">
        <v>274</v>
      </c>
      <c r="R18" s="126" t="s">
        <v>275</v>
      </c>
      <c r="S18" s="126" t="s">
        <v>276</v>
      </c>
      <c r="T18" s="126" t="s">
        <v>125</v>
      </c>
      <c r="U18" s="126" t="s">
        <v>277</v>
      </c>
      <c r="V18" s="126" t="s">
        <v>278</v>
      </c>
      <c r="W18" s="126" t="s">
        <v>281</v>
      </c>
      <c r="X18" s="126" t="s">
        <v>282</v>
      </c>
      <c r="Y18" s="126" t="s">
        <v>283</v>
      </c>
      <c r="Z18" s="126" t="s">
        <v>284</v>
      </c>
      <c r="AA18" s="126" t="s">
        <v>291</v>
      </c>
      <c r="AB18" s="126" t="s">
        <v>286</v>
      </c>
      <c r="AC18" s="126" t="s">
        <v>287</v>
      </c>
      <c r="AD18" s="126" t="s">
        <v>288</v>
      </c>
      <c r="AE18" s="7"/>
    </row>
    <row r="19">
      <c r="A19" s="7"/>
      <c r="B19" s="7"/>
      <c r="C19" s="31" t="s">
        <v>57</v>
      </c>
      <c r="D19" s="32" t="s">
        <v>65</v>
      </c>
      <c r="E19" s="33"/>
      <c r="F19" s="7"/>
      <c r="G19" s="7"/>
      <c r="H19" s="7"/>
      <c r="I19" s="7"/>
      <c r="J19" s="7"/>
      <c r="K19" s="7"/>
      <c r="L19" s="128">
        <v>45722.0</v>
      </c>
      <c r="M19" s="129">
        <f>L19+R19</f>
        <v>45812</v>
      </c>
      <c r="N19" s="130">
        <v>3.42606743E9</v>
      </c>
      <c r="O19" s="131">
        <v>45707.0</v>
      </c>
      <c r="P19" s="132" t="s">
        <v>279</v>
      </c>
      <c r="Q19" s="133">
        <v>86336.96</v>
      </c>
      <c r="R19" s="132">
        <v>90.0</v>
      </c>
      <c r="S19" s="134">
        <v>0.18</v>
      </c>
      <c r="T19" s="135">
        <f>Q19*(S19/365*R19)</f>
        <v>3831.941786</v>
      </c>
      <c r="U19" s="135">
        <f>Q19-T19</f>
        <v>82505.01821</v>
      </c>
      <c r="V19" s="135">
        <f>Q19</f>
        <v>86336.96</v>
      </c>
      <c r="W19" s="132" t="s">
        <v>289</v>
      </c>
      <c r="X19" s="135">
        <v>93365.62</v>
      </c>
      <c r="Y19" s="136">
        <v>45778.0</v>
      </c>
      <c r="Z19" s="132">
        <f>Y19-L24</f>
        <v>56</v>
      </c>
      <c r="AA19" s="137">
        <f>T24-AC19</f>
        <v>1447.622453</v>
      </c>
      <c r="AB19" s="137">
        <f>X19-Q24</f>
        <v>7028.66</v>
      </c>
      <c r="AC19" s="137">
        <f>Q24*S24/365*Z19</f>
        <v>2384.319334</v>
      </c>
      <c r="AD19" s="137">
        <f>AA19+AB19</f>
        <v>8476.282453</v>
      </c>
      <c r="AE19" s="7"/>
    </row>
    <row r="20">
      <c r="A20" s="9" t="s">
        <v>40</v>
      </c>
      <c r="B20" s="9" t="s">
        <v>1</v>
      </c>
      <c r="C20" s="9" t="s">
        <v>2</v>
      </c>
      <c r="D20" s="9" t="s">
        <v>3</v>
      </c>
      <c r="E20" s="20"/>
      <c r="F20" s="9" t="s">
        <v>5</v>
      </c>
      <c r="G20" s="9" t="s">
        <v>6</v>
      </c>
      <c r="H20" s="9" t="s">
        <v>7</v>
      </c>
      <c r="I20" s="10" t="s">
        <v>8</v>
      </c>
      <c r="J20" s="7"/>
      <c r="K20" s="7"/>
      <c r="L20" s="7"/>
      <c r="M20" s="7"/>
      <c r="N20" s="125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104"/>
      <c r="AA20" s="7"/>
      <c r="AB20" s="7"/>
      <c r="AC20" s="7"/>
      <c r="AD20" s="7"/>
      <c r="AE20" s="7"/>
    </row>
    <row r="21">
      <c r="A21" s="12">
        <v>3.0</v>
      </c>
      <c r="B21" s="14" t="s">
        <v>52</v>
      </c>
      <c r="C21" s="14" t="s">
        <v>10</v>
      </c>
      <c r="D21" s="15" t="s">
        <v>79</v>
      </c>
      <c r="E21" s="14" t="s">
        <v>12</v>
      </c>
      <c r="F21" s="14" t="s">
        <v>13</v>
      </c>
      <c r="G21" s="15" t="s">
        <v>197</v>
      </c>
      <c r="H21" s="113">
        <f>X19</f>
        <v>93365.62</v>
      </c>
      <c r="I21" s="17">
        <v>100062.0</v>
      </c>
      <c r="J21" s="7"/>
      <c r="K21" s="7"/>
      <c r="L21" s="7"/>
      <c r="M21" s="7"/>
      <c r="N21" s="125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>
      <c r="A22" s="12">
        <v>3.0</v>
      </c>
      <c r="B22" s="14" t="s">
        <v>52</v>
      </c>
      <c r="C22" s="14" t="s">
        <v>10</v>
      </c>
      <c r="D22" s="15" t="s">
        <v>310</v>
      </c>
      <c r="E22" s="15" t="s">
        <v>22</v>
      </c>
      <c r="F22" s="15" t="s">
        <v>19</v>
      </c>
      <c r="G22" s="15" t="s">
        <v>197</v>
      </c>
      <c r="H22" s="16">
        <f>H21</f>
        <v>93365.62</v>
      </c>
      <c r="I22" s="150">
        <v>200086.0</v>
      </c>
      <c r="J22" s="7"/>
      <c r="K22" s="7"/>
      <c r="L22" s="8" t="s">
        <v>290</v>
      </c>
      <c r="M22" s="7"/>
      <c r="N22" s="125"/>
      <c r="O22" s="7"/>
      <c r="P22" s="7"/>
      <c r="Q22" s="7"/>
      <c r="R22" s="7"/>
      <c r="S22" s="7"/>
      <c r="T22" s="7"/>
      <c r="U22" s="126" t="s">
        <v>277</v>
      </c>
      <c r="V22" s="126" t="s">
        <v>278</v>
      </c>
      <c r="W22" s="126" t="s">
        <v>281</v>
      </c>
      <c r="X22" s="7"/>
      <c r="Y22" s="7"/>
      <c r="Z22" s="7"/>
      <c r="AA22" s="7"/>
      <c r="AB22" s="7"/>
      <c r="AC22" s="7"/>
      <c r="AD22" s="7"/>
      <c r="AE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126" t="s">
        <v>41</v>
      </c>
      <c r="M23" s="126" t="s">
        <v>270</v>
      </c>
      <c r="N23" s="127" t="s">
        <v>271</v>
      </c>
      <c r="O23" s="126" t="s">
        <v>272</v>
      </c>
      <c r="P23" s="126" t="s">
        <v>273</v>
      </c>
      <c r="Q23" s="126" t="s">
        <v>274</v>
      </c>
      <c r="R23" s="126" t="s">
        <v>275</v>
      </c>
      <c r="S23" s="126" t="s">
        <v>276</v>
      </c>
      <c r="T23" s="126" t="s">
        <v>125</v>
      </c>
      <c r="U23" s="135">
        <f>Q24-T24</f>
        <v>82505.01821</v>
      </c>
      <c r="V23" s="135">
        <f>Q24</f>
        <v>86336.96</v>
      </c>
      <c r="W23" s="132" t="s">
        <v>289</v>
      </c>
      <c r="X23" s="7"/>
      <c r="Y23" s="7"/>
      <c r="Z23" s="7"/>
      <c r="AA23" s="7"/>
      <c r="AB23" s="7"/>
      <c r="AC23" s="7"/>
      <c r="AD23" s="7"/>
      <c r="AE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128">
        <v>45722.0</v>
      </c>
      <c r="M24" s="129">
        <f>L24+R24</f>
        <v>45812</v>
      </c>
      <c r="N24" s="130">
        <v>3.42606743E9</v>
      </c>
      <c r="O24" s="131">
        <v>45707.0</v>
      </c>
      <c r="P24" s="132" t="s">
        <v>279</v>
      </c>
      <c r="Q24" s="133">
        <v>86336.96</v>
      </c>
      <c r="R24" s="132">
        <v>90.0</v>
      </c>
      <c r="S24" s="134">
        <v>0.18</v>
      </c>
      <c r="T24" s="135">
        <f>Q24*(S24/365*R24)</f>
        <v>3831.941786</v>
      </c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>
      <c r="A25" s="7"/>
      <c r="B25" s="7"/>
      <c r="C25" s="112" t="s">
        <v>200</v>
      </c>
      <c r="D25" s="29" t="s">
        <v>64</v>
      </c>
      <c r="E25" s="7"/>
      <c r="F25" s="7"/>
      <c r="G25" s="7"/>
      <c r="H25" s="19"/>
      <c r="I25" s="7"/>
      <c r="J25" s="7"/>
      <c r="K25" s="7"/>
      <c r="L25" s="7"/>
      <c r="M25" s="7"/>
      <c r="N25" s="125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>
      <c r="A26" s="7"/>
      <c r="B26" s="7"/>
      <c r="C26" s="31" t="s">
        <v>57</v>
      </c>
      <c r="D26" s="32" t="s">
        <v>65</v>
      </c>
      <c r="E26" s="33"/>
      <c r="F26" s="7"/>
      <c r="G26" s="7"/>
      <c r="H26" s="7"/>
      <c r="I26" s="7"/>
      <c r="J26" s="7"/>
      <c r="K26" s="7"/>
      <c r="L26" s="7"/>
      <c r="M26" s="7"/>
      <c r="N26" s="125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>
      <c r="A27" s="9" t="s">
        <v>40</v>
      </c>
      <c r="B27" s="9" t="s">
        <v>1</v>
      </c>
      <c r="C27" s="9" t="s">
        <v>2</v>
      </c>
      <c r="D27" s="9" t="s">
        <v>3</v>
      </c>
      <c r="E27" s="20"/>
      <c r="F27" s="9" t="s">
        <v>5</v>
      </c>
      <c r="G27" s="9" t="s">
        <v>6</v>
      </c>
      <c r="H27" s="9" t="s">
        <v>7</v>
      </c>
      <c r="I27" s="10" t="s">
        <v>8</v>
      </c>
      <c r="J27" s="7"/>
      <c r="K27" s="7"/>
      <c r="L27" s="7"/>
      <c r="M27" s="7"/>
      <c r="N27" s="125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>
      <c r="A28" s="12">
        <v>3.0</v>
      </c>
      <c r="B28" s="15" t="s">
        <v>200</v>
      </c>
      <c r="C28" s="14" t="s">
        <v>10</v>
      </c>
      <c r="D28" s="15" t="str">
        <f>D22</f>
        <v>Invoice Discounting - Clearing</v>
      </c>
      <c r="E28" s="15" t="s">
        <v>22</v>
      </c>
      <c r="F28" s="15" t="s">
        <v>13</v>
      </c>
      <c r="G28" s="15" t="s">
        <v>83</v>
      </c>
      <c r="H28" s="113">
        <f>AD19</f>
        <v>8476.282453</v>
      </c>
      <c r="I28" s="150">
        <v>200086.0</v>
      </c>
      <c r="J28" s="7"/>
      <c r="K28" s="8"/>
      <c r="L28" s="7"/>
      <c r="M28" s="7"/>
      <c r="N28" s="125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>
      <c r="A29" s="12">
        <v>3.0</v>
      </c>
      <c r="B29" s="15" t="s">
        <v>200</v>
      </c>
      <c r="C29" s="14" t="s">
        <v>10</v>
      </c>
      <c r="D29" s="15" t="s">
        <v>79</v>
      </c>
      <c r="E29" s="14" t="s">
        <v>12</v>
      </c>
      <c r="F29" s="15" t="s">
        <v>19</v>
      </c>
      <c r="G29" s="15" t="s">
        <v>83</v>
      </c>
      <c r="H29" s="16">
        <f>H28</f>
        <v>8476.282453</v>
      </c>
      <c r="I29" s="17">
        <v>100062.0</v>
      </c>
      <c r="J29" s="7"/>
      <c r="K29" s="7"/>
      <c r="L29" s="7"/>
      <c r="M29" s="7"/>
      <c r="N29" s="125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125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125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>
      <c r="A32" s="7"/>
      <c r="B32" s="96" t="s">
        <v>103</v>
      </c>
      <c r="C32" s="43" t="s">
        <v>311</v>
      </c>
      <c r="D32" s="151"/>
      <c r="E32" s="7"/>
      <c r="F32" s="7"/>
      <c r="G32" s="7"/>
      <c r="H32" s="7"/>
      <c r="I32" s="7"/>
      <c r="J32" s="7"/>
      <c r="K32" s="7"/>
      <c r="L32" s="7"/>
      <c r="M32" s="7"/>
      <c r="N32" s="125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>
      <c r="A33" s="7"/>
      <c r="B33" s="7"/>
      <c r="C33" s="101" t="s">
        <v>57</v>
      </c>
      <c r="D33" s="102" t="s">
        <v>167</v>
      </c>
      <c r="E33" s="30"/>
      <c r="F33" s="7"/>
      <c r="G33" s="7"/>
      <c r="H33" s="7"/>
      <c r="I33" s="7"/>
      <c r="J33" s="7"/>
      <c r="K33" s="7"/>
      <c r="L33" s="7"/>
      <c r="M33" s="7"/>
      <c r="N33" s="125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>
      <c r="A34" s="92" t="s">
        <v>0</v>
      </c>
      <c r="B34" s="92" t="s">
        <v>1</v>
      </c>
      <c r="C34" s="92" t="s">
        <v>2</v>
      </c>
      <c r="D34" s="92" t="s">
        <v>3</v>
      </c>
      <c r="E34" s="152"/>
      <c r="F34" s="92" t="s">
        <v>5</v>
      </c>
      <c r="G34" s="92" t="s">
        <v>6</v>
      </c>
      <c r="H34" s="105" t="s">
        <v>7</v>
      </c>
      <c r="I34" s="9" t="s">
        <v>8</v>
      </c>
      <c r="J34" s="7"/>
      <c r="K34" s="7"/>
      <c r="L34" s="7"/>
      <c r="M34" s="7"/>
      <c r="N34" s="125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>
      <c r="A35" s="110"/>
      <c r="B35" s="106" t="s">
        <v>66</v>
      </c>
      <c r="C35" s="106" t="s">
        <v>10</v>
      </c>
      <c r="D35" s="109" t="s">
        <v>323</v>
      </c>
      <c r="E35" s="106" t="s">
        <v>18</v>
      </c>
      <c r="F35" s="106" t="s">
        <v>19</v>
      </c>
      <c r="G35" s="106" t="s">
        <v>69</v>
      </c>
      <c r="H35" s="108">
        <f>P10</f>
        <v>1064.428274</v>
      </c>
      <c r="I35" s="106">
        <v>300008.0</v>
      </c>
      <c r="J35" s="7"/>
      <c r="K35" s="7"/>
      <c r="L35" s="7"/>
      <c r="M35" s="7"/>
      <c r="N35" s="125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>
      <c r="A36" s="110"/>
      <c r="B36" s="106" t="s">
        <v>66</v>
      </c>
      <c r="C36" s="106" t="s">
        <v>10</v>
      </c>
      <c r="D36" s="109" t="s">
        <v>318</v>
      </c>
      <c r="E36" s="109" t="s">
        <v>22</v>
      </c>
      <c r="F36" s="106" t="s">
        <v>13</v>
      </c>
      <c r="G36" s="106" t="s">
        <v>69</v>
      </c>
      <c r="H36" s="108">
        <f>H35</f>
        <v>1064.428274</v>
      </c>
      <c r="I36" s="106">
        <f>I6</f>
        <v>100035</v>
      </c>
      <c r="J36" s="7"/>
      <c r="K36" s="7"/>
      <c r="L36" s="7"/>
      <c r="M36" s="7"/>
      <c r="N36" s="125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>
      <c r="A37" s="7"/>
      <c r="B37" s="7"/>
      <c r="C37" s="7"/>
      <c r="E37" s="7"/>
      <c r="F37" s="7"/>
      <c r="G37" s="7"/>
      <c r="H37" s="7"/>
      <c r="I37" s="7"/>
      <c r="J37" s="7"/>
      <c r="K37" s="7"/>
      <c r="L37" s="7"/>
      <c r="M37" s="7"/>
      <c r="N37" s="125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>
      <c r="A38" s="7"/>
      <c r="B38" s="96"/>
      <c r="C38" s="112"/>
      <c r="D38" s="151"/>
      <c r="E38" s="7"/>
      <c r="F38" s="7"/>
      <c r="G38" s="7"/>
      <c r="H38" s="7"/>
      <c r="I38" s="7"/>
      <c r="J38" s="7"/>
      <c r="K38" s="7"/>
      <c r="L38" s="7"/>
      <c r="M38" s="7"/>
      <c r="N38" s="125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>
      <c r="A39" s="7"/>
      <c r="B39" s="96" t="s">
        <v>118</v>
      </c>
      <c r="C39" s="112" t="s">
        <v>312</v>
      </c>
      <c r="D39" s="151"/>
      <c r="E39" s="7"/>
      <c r="F39" s="7"/>
      <c r="G39" s="7"/>
      <c r="H39" s="7"/>
      <c r="I39" s="7"/>
      <c r="J39" s="7"/>
      <c r="K39" s="7"/>
      <c r="L39" s="7"/>
      <c r="M39" s="7"/>
      <c r="N39" s="125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>
      <c r="A40" s="7"/>
      <c r="B40" s="7"/>
      <c r="C40" s="101" t="s">
        <v>57</v>
      </c>
      <c r="D40" s="102" t="s">
        <v>167</v>
      </c>
      <c r="E40" s="30"/>
      <c r="F40" s="7"/>
      <c r="G40" s="7"/>
      <c r="H40" s="7"/>
      <c r="I40" s="7"/>
      <c r="J40" s="7"/>
      <c r="K40" s="7"/>
      <c r="L40" s="7"/>
      <c r="M40" s="7"/>
      <c r="N40" s="125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>
      <c r="A41" s="92" t="s">
        <v>0</v>
      </c>
      <c r="B41" s="92" t="s">
        <v>1</v>
      </c>
      <c r="C41" s="92" t="s">
        <v>2</v>
      </c>
      <c r="D41" s="92" t="s">
        <v>3</v>
      </c>
      <c r="E41" s="152"/>
      <c r="F41" s="92" t="s">
        <v>5</v>
      </c>
      <c r="G41" s="92" t="s">
        <v>6</v>
      </c>
      <c r="H41" s="105" t="s">
        <v>7</v>
      </c>
      <c r="I41" s="9" t="s">
        <v>8</v>
      </c>
      <c r="J41" s="7"/>
      <c r="K41" s="7"/>
      <c r="L41" s="7"/>
      <c r="M41" s="7"/>
      <c r="N41" s="125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>
      <c r="A42" s="110"/>
      <c r="B42" s="106" t="s">
        <v>66</v>
      </c>
      <c r="C42" s="106" t="s">
        <v>10</v>
      </c>
      <c r="D42" s="109" t="s">
        <v>323</v>
      </c>
      <c r="E42" s="106" t="s">
        <v>18</v>
      </c>
      <c r="F42" s="106" t="s">
        <v>19</v>
      </c>
      <c r="G42" s="106" t="s">
        <v>69</v>
      </c>
      <c r="H42" s="108">
        <f>P11</f>
        <v>1277.313929</v>
      </c>
      <c r="I42" s="106">
        <v>300008.0</v>
      </c>
      <c r="J42" s="7"/>
      <c r="K42" s="7"/>
      <c r="L42" s="7"/>
      <c r="M42" s="7"/>
      <c r="N42" s="125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>
      <c r="A43" s="110"/>
      <c r="B43" s="106" t="s">
        <v>66</v>
      </c>
      <c r="C43" s="106" t="s">
        <v>10</v>
      </c>
      <c r="D43" s="109" t="s">
        <v>318</v>
      </c>
      <c r="E43" s="109" t="s">
        <v>22</v>
      </c>
      <c r="F43" s="106" t="s">
        <v>13</v>
      </c>
      <c r="G43" s="106" t="s">
        <v>69</v>
      </c>
      <c r="H43" s="108">
        <f>H42</f>
        <v>1277.313929</v>
      </c>
      <c r="I43" s="106">
        <v>100035.0</v>
      </c>
      <c r="J43" s="7"/>
      <c r="K43" s="7"/>
      <c r="L43" s="7"/>
      <c r="M43" s="7"/>
      <c r="N43" s="125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125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125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>
      <c r="A46" s="7"/>
      <c r="B46" s="96" t="s">
        <v>139</v>
      </c>
      <c r="C46" s="112" t="s">
        <v>313</v>
      </c>
      <c r="D46" s="151"/>
      <c r="E46" s="7"/>
      <c r="F46" s="7"/>
      <c r="G46" s="7"/>
      <c r="H46" s="7"/>
      <c r="I46" s="7"/>
      <c r="J46" s="7"/>
      <c r="K46" s="7"/>
      <c r="L46" s="7"/>
      <c r="M46" s="7"/>
      <c r="N46" s="125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>
      <c r="A47" s="7"/>
      <c r="B47" s="7"/>
      <c r="C47" s="101" t="s">
        <v>57</v>
      </c>
      <c r="D47" s="102" t="s">
        <v>167</v>
      </c>
      <c r="E47" s="30"/>
      <c r="F47" s="7"/>
      <c r="G47" s="7"/>
      <c r="H47" s="7"/>
      <c r="I47" s="7"/>
      <c r="J47" s="7"/>
      <c r="K47" s="7"/>
      <c r="L47" s="7"/>
      <c r="M47" s="7"/>
      <c r="N47" s="125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>
      <c r="A48" s="92" t="s">
        <v>0</v>
      </c>
      <c r="B48" s="92" t="s">
        <v>1</v>
      </c>
      <c r="C48" s="92" t="s">
        <v>2</v>
      </c>
      <c r="D48" s="92" t="s">
        <v>3</v>
      </c>
      <c r="E48" s="152"/>
      <c r="F48" s="92" t="s">
        <v>5</v>
      </c>
      <c r="G48" s="92" t="s">
        <v>6</v>
      </c>
      <c r="H48" s="105" t="s">
        <v>7</v>
      </c>
      <c r="I48" s="9" t="s">
        <v>8</v>
      </c>
      <c r="J48" s="7"/>
      <c r="K48" s="7"/>
      <c r="L48" s="7"/>
      <c r="M48" s="7"/>
      <c r="N48" s="125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>
      <c r="A49" s="110"/>
      <c r="B49" s="106" t="s">
        <v>66</v>
      </c>
      <c r="C49" s="106" t="s">
        <v>10</v>
      </c>
      <c r="D49" s="109" t="s">
        <v>323</v>
      </c>
      <c r="E49" s="106" t="s">
        <v>18</v>
      </c>
      <c r="F49" s="106" t="s">
        <v>19</v>
      </c>
      <c r="G49" s="106" t="s">
        <v>69</v>
      </c>
      <c r="H49" s="108">
        <f>P12</f>
        <v>1319.89106</v>
      </c>
      <c r="I49" s="106">
        <v>300008.0</v>
      </c>
      <c r="J49" s="7"/>
      <c r="K49" s="7"/>
      <c r="L49" s="7"/>
      <c r="M49" s="7"/>
      <c r="N49" s="125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>
      <c r="A50" s="110"/>
      <c r="B50" s="106" t="s">
        <v>66</v>
      </c>
      <c r="C50" s="106" t="s">
        <v>10</v>
      </c>
      <c r="D50" s="109" t="s">
        <v>318</v>
      </c>
      <c r="E50" s="109" t="s">
        <v>22</v>
      </c>
      <c r="F50" s="106" t="s">
        <v>13</v>
      </c>
      <c r="G50" s="106" t="s">
        <v>69</v>
      </c>
      <c r="H50" s="108">
        <f>H49</f>
        <v>1319.89106</v>
      </c>
      <c r="I50" s="106">
        <v>100035.0</v>
      </c>
      <c r="J50" s="7"/>
      <c r="K50" s="7"/>
      <c r="L50" s="7"/>
      <c r="M50" s="7"/>
      <c r="N50" s="125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125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125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>
      <c r="A53" s="7"/>
      <c r="B53" s="96" t="s">
        <v>134</v>
      </c>
      <c r="C53" s="112" t="s">
        <v>314</v>
      </c>
      <c r="D53" s="151"/>
      <c r="E53" s="7"/>
      <c r="F53" s="7"/>
      <c r="G53" s="7"/>
      <c r="H53" s="7"/>
      <c r="I53" s="7"/>
      <c r="J53" s="7"/>
      <c r="K53" s="7"/>
      <c r="L53" s="7"/>
      <c r="M53" s="7"/>
      <c r="N53" s="125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>
      <c r="A54" s="7"/>
      <c r="B54" s="7"/>
      <c r="C54" s="101" t="s">
        <v>57</v>
      </c>
      <c r="D54" s="102" t="s">
        <v>167</v>
      </c>
      <c r="E54" s="30"/>
      <c r="F54" s="7"/>
      <c r="G54" s="7"/>
      <c r="H54" s="7"/>
      <c r="I54" s="7"/>
      <c r="J54" s="7"/>
      <c r="K54" s="7"/>
      <c r="L54" s="7"/>
      <c r="M54" s="7"/>
      <c r="N54" s="125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>
      <c r="A55" s="92" t="s">
        <v>0</v>
      </c>
      <c r="B55" s="92" t="s">
        <v>1</v>
      </c>
      <c r="C55" s="92" t="s">
        <v>2</v>
      </c>
      <c r="D55" s="92" t="s">
        <v>3</v>
      </c>
      <c r="E55" s="152"/>
      <c r="F55" s="92" t="s">
        <v>5</v>
      </c>
      <c r="G55" s="92" t="s">
        <v>6</v>
      </c>
      <c r="H55" s="105" t="s">
        <v>7</v>
      </c>
      <c r="I55" s="9" t="s">
        <v>8</v>
      </c>
      <c r="J55" s="7"/>
      <c r="K55" s="7"/>
      <c r="L55" s="7"/>
      <c r="M55" s="7"/>
      <c r="N55" s="125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>
      <c r="A56" s="110"/>
      <c r="B56" s="106" t="s">
        <v>66</v>
      </c>
      <c r="C56" s="106" t="s">
        <v>10</v>
      </c>
      <c r="D56" s="109" t="s">
        <v>323</v>
      </c>
      <c r="E56" s="106" t="s">
        <v>18</v>
      </c>
      <c r="F56" s="106" t="s">
        <v>19</v>
      </c>
      <c r="G56" s="106" t="s">
        <v>69</v>
      </c>
      <c r="H56" s="108">
        <f>P13</f>
        <v>170.3085238</v>
      </c>
      <c r="I56" s="106">
        <v>300008.0</v>
      </c>
      <c r="J56" s="7"/>
      <c r="K56" s="7"/>
      <c r="L56" s="7"/>
      <c r="M56" s="7"/>
      <c r="N56" s="125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>
      <c r="A57" s="110"/>
      <c r="B57" s="106" t="s">
        <v>66</v>
      </c>
      <c r="C57" s="106" t="s">
        <v>10</v>
      </c>
      <c r="D57" s="109" t="s">
        <v>318</v>
      </c>
      <c r="E57" s="109" t="s">
        <v>22</v>
      </c>
      <c r="F57" s="106" t="s">
        <v>13</v>
      </c>
      <c r="G57" s="106" t="s">
        <v>69</v>
      </c>
      <c r="H57" s="108">
        <f>H56</f>
        <v>170.3085238</v>
      </c>
      <c r="I57" s="106">
        <v>100035.0</v>
      </c>
      <c r="J57" s="7"/>
      <c r="K57" s="7"/>
      <c r="L57" s="7"/>
      <c r="M57" s="7"/>
      <c r="N57" s="125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125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125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125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125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>
      <c r="A62" s="7"/>
      <c r="B62" s="7"/>
      <c r="C62" s="101" t="s">
        <v>57</v>
      </c>
      <c r="D62" s="138" t="s">
        <v>292</v>
      </c>
      <c r="E62" s="30"/>
      <c r="F62" s="34" t="s">
        <v>187</v>
      </c>
      <c r="H62" s="7"/>
      <c r="I62" s="7"/>
      <c r="J62" s="7"/>
      <c r="K62" s="7"/>
      <c r="L62" s="7"/>
      <c r="M62" s="7"/>
      <c r="N62" s="125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>
      <c r="A63" s="92" t="s">
        <v>0</v>
      </c>
      <c r="B63" s="92" t="s">
        <v>1</v>
      </c>
      <c r="C63" s="92" t="s">
        <v>2</v>
      </c>
      <c r="D63" s="92" t="s">
        <v>3</v>
      </c>
      <c r="E63" s="92" t="s">
        <v>4</v>
      </c>
      <c r="F63" s="92" t="s">
        <v>5</v>
      </c>
      <c r="G63" s="92" t="s">
        <v>6</v>
      </c>
      <c r="H63" s="92" t="s">
        <v>7</v>
      </c>
      <c r="I63" s="9" t="s">
        <v>8</v>
      </c>
      <c r="J63" s="7"/>
      <c r="K63" s="7"/>
      <c r="L63" s="7"/>
      <c r="M63" s="7"/>
      <c r="N63" s="125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>
      <c r="A64" s="106">
        <v>3.0</v>
      </c>
      <c r="B64" s="109" t="s">
        <v>324</v>
      </c>
      <c r="C64" s="106" t="s">
        <v>10</v>
      </c>
      <c r="D64" s="106" t="str">
        <f t="shared" ref="D64:E64" si="4">D28</f>
        <v>Invoice Discounting - Clearing</v>
      </c>
      <c r="E64" s="106" t="str">
        <f t="shared" si="4"/>
        <v>Current Liability</v>
      </c>
      <c r="F64" s="106" t="s">
        <v>13</v>
      </c>
      <c r="G64" s="106" t="s">
        <v>90</v>
      </c>
      <c r="H64" s="108">
        <f>H65+H66+H67</f>
        <v>86336.96179</v>
      </c>
      <c r="I64" s="106">
        <f>I28</f>
        <v>200086</v>
      </c>
      <c r="J64" s="11" t="s">
        <v>293</v>
      </c>
      <c r="K64" s="7"/>
      <c r="L64" s="7"/>
      <c r="M64" s="7"/>
      <c r="N64" s="125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>
      <c r="A65" s="106">
        <v>3.0</v>
      </c>
      <c r="B65" s="109" t="s">
        <v>324</v>
      </c>
      <c r="C65" s="106" t="s">
        <v>10</v>
      </c>
      <c r="D65" s="106" t="s">
        <v>15</v>
      </c>
      <c r="E65" s="106" t="s">
        <v>12</v>
      </c>
      <c r="F65" s="106" t="s">
        <v>19</v>
      </c>
      <c r="G65" s="109" t="s">
        <v>16</v>
      </c>
      <c r="H65" s="108">
        <f>T5</f>
        <v>3831.941786</v>
      </c>
      <c r="I65" s="106">
        <v>100035.0</v>
      </c>
      <c r="J65" s="139" t="s">
        <v>294</v>
      </c>
      <c r="K65" s="7"/>
      <c r="L65" s="7"/>
      <c r="M65" s="7"/>
      <c r="N65" s="125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>
      <c r="A66" s="106">
        <v>3.0</v>
      </c>
      <c r="B66" s="109" t="s">
        <v>324</v>
      </c>
      <c r="C66" s="106" t="s">
        <v>10</v>
      </c>
      <c r="D66" s="106" t="s">
        <v>11</v>
      </c>
      <c r="E66" s="106" t="s">
        <v>12</v>
      </c>
      <c r="F66" s="106" t="s">
        <v>19</v>
      </c>
      <c r="G66" s="109" t="s">
        <v>14</v>
      </c>
      <c r="H66" s="93">
        <v>81505.02</v>
      </c>
      <c r="I66" s="106">
        <v>100032.0</v>
      </c>
      <c r="J66" s="89"/>
      <c r="K66" s="7"/>
      <c r="L66" s="7"/>
      <c r="M66" s="7"/>
      <c r="N66" s="125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>
      <c r="A67" s="106">
        <v>3.0</v>
      </c>
      <c r="B67" s="109" t="s">
        <v>324</v>
      </c>
      <c r="C67" s="106" t="s">
        <v>10</v>
      </c>
      <c r="D67" s="156" t="s">
        <v>321</v>
      </c>
      <c r="E67" s="156" t="s">
        <v>12</v>
      </c>
      <c r="F67" s="156" t="s">
        <v>19</v>
      </c>
      <c r="G67" s="157" t="s">
        <v>28</v>
      </c>
      <c r="H67" s="158">
        <v>1000.0</v>
      </c>
      <c r="I67" s="109">
        <v>100063.0</v>
      </c>
      <c r="J67" s="7"/>
      <c r="K67" s="7"/>
      <c r="L67" s="7"/>
      <c r="M67" s="7"/>
      <c r="N67" s="125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>
      <c r="A68" s="89"/>
      <c r="B68" s="89"/>
      <c r="C68" s="89"/>
      <c r="D68" s="89"/>
      <c r="E68" s="89"/>
      <c r="F68" s="89"/>
      <c r="G68" s="89"/>
      <c r="H68" s="89"/>
      <c r="I68" s="89"/>
      <c r="J68" s="7"/>
      <c r="K68" s="7"/>
      <c r="L68" s="7"/>
      <c r="M68" s="7"/>
      <c r="N68" s="125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>
      <c r="A69" s="89"/>
      <c r="B69" s="89"/>
      <c r="C69" s="89"/>
      <c r="D69" s="89"/>
      <c r="E69" s="89"/>
      <c r="F69" s="89"/>
      <c r="G69" s="89"/>
      <c r="H69" s="89"/>
      <c r="I69" s="89"/>
      <c r="J69" s="7"/>
      <c r="K69" s="7"/>
      <c r="L69" s="7"/>
      <c r="M69" s="7"/>
      <c r="N69" s="125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>
      <c r="A70" s="89"/>
      <c r="B70" s="89"/>
      <c r="C70" s="89"/>
      <c r="D70" s="89"/>
      <c r="E70" s="89"/>
      <c r="F70" s="89"/>
      <c r="G70" s="89"/>
      <c r="H70" s="89"/>
      <c r="I70" s="89"/>
      <c r="J70" s="7"/>
      <c r="K70" s="7"/>
      <c r="L70" s="7"/>
      <c r="M70" s="7"/>
      <c r="N70" s="125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>
      <c r="A71" s="140" t="s">
        <v>295</v>
      </c>
      <c r="B71" s="89"/>
      <c r="C71" s="140" t="s">
        <v>296</v>
      </c>
      <c r="D71" s="89"/>
      <c r="E71" s="89"/>
      <c r="F71" s="89"/>
      <c r="G71" s="89"/>
      <c r="H71" s="89"/>
      <c r="I71" s="89"/>
      <c r="J71" s="7"/>
      <c r="K71" s="7"/>
      <c r="L71" s="7"/>
      <c r="M71" s="7"/>
      <c r="N71" s="125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125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>
      <c r="A73" s="7"/>
      <c r="B73" s="43" t="s">
        <v>297</v>
      </c>
      <c r="C73" s="101" t="s">
        <v>57</v>
      </c>
      <c r="D73" s="102" t="s">
        <v>86</v>
      </c>
      <c r="F73" s="7"/>
      <c r="G73" s="7"/>
      <c r="H73" s="7"/>
      <c r="I73" s="7"/>
      <c r="J73" s="7"/>
      <c r="K73" s="7"/>
      <c r="L73" s="7"/>
      <c r="M73" s="7"/>
      <c r="N73" s="125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>
      <c r="A74" s="92" t="s">
        <v>0</v>
      </c>
      <c r="B74" s="92" t="s">
        <v>1</v>
      </c>
      <c r="C74" s="92" t="s">
        <v>2</v>
      </c>
      <c r="D74" s="92" t="s">
        <v>3</v>
      </c>
      <c r="E74" s="92" t="s">
        <v>4</v>
      </c>
      <c r="F74" s="92" t="s">
        <v>5</v>
      </c>
      <c r="G74" s="92" t="s">
        <v>6</v>
      </c>
      <c r="H74" s="92" t="s">
        <v>7</v>
      </c>
      <c r="I74" s="9" t="s">
        <v>8</v>
      </c>
      <c r="J74" s="7"/>
      <c r="K74" s="7"/>
      <c r="L74" s="7"/>
      <c r="M74" s="7"/>
      <c r="N74" s="125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>
      <c r="A75" s="106">
        <v>4.0</v>
      </c>
      <c r="B75" s="109" t="s">
        <v>324</v>
      </c>
      <c r="C75" s="106" t="s">
        <v>10</v>
      </c>
      <c r="D75" s="106" t="str">
        <f t="shared" ref="D75:E75" si="5">D64</f>
        <v>Invoice Discounting - Clearing</v>
      </c>
      <c r="E75" s="106" t="str">
        <f t="shared" si="5"/>
        <v>Current Liability</v>
      </c>
      <c r="F75" s="106" t="s">
        <v>13</v>
      </c>
      <c r="G75" s="106" t="s">
        <v>90</v>
      </c>
      <c r="H75" s="108">
        <f>H77+H79+H80+H78</f>
        <v>86620.80933</v>
      </c>
      <c r="I75" s="106">
        <f>I64</f>
        <v>200086</v>
      </c>
      <c r="J75" s="7"/>
      <c r="K75" s="7"/>
      <c r="L75" s="7"/>
      <c r="M75" s="7"/>
      <c r="N75" s="125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>
      <c r="A76" s="106">
        <v>4.0</v>
      </c>
      <c r="B76" s="109" t="s">
        <v>324</v>
      </c>
      <c r="C76" s="106" t="s">
        <v>10</v>
      </c>
      <c r="D76" s="106" t="s">
        <v>298</v>
      </c>
      <c r="E76" s="106" t="s">
        <v>12</v>
      </c>
      <c r="F76" s="106" t="s">
        <v>19</v>
      </c>
      <c r="G76" s="110"/>
      <c r="H76" s="141">
        <f>AA13</f>
        <v>283.8475397</v>
      </c>
      <c r="I76" s="106">
        <v>100030.0</v>
      </c>
      <c r="J76" s="7"/>
      <c r="K76" s="7"/>
      <c r="L76" s="7"/>
      <c r="M76" s="7"/>
      <c r="N76" s="125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>
      <c r="A77" s="106">
        <v>4.0</v>
      </c>
      <c r="B77" s="109" t="s">
        <v>324</v>
      </c>
      <c r="C77" s="106" t="s">
        <v>10</v>
      </c>
      <c r="D77" s="106" t="s">
        <v>15</v>
      </c>
      <c r="E77" s="106" t="s">
        <v>12</v>
      </c>
      <c r="F77" s="106" t="s">
        <v>19</v>
      </c>
      <c r="G77" s="109" t="s">
        <v>325</v>
      </c>
      <c r="H77" s="108">
        <f>T19</f>
        <v>3831.941786</v>
      </c>
      <c r="I77" s="106">
        <v>100035.0</v>
      </c>
      <c r="J77" s="7"/>
      <c r="K77" s="7"/>
      <c r="L77" s="7"/>
      <c r="M77" s="7"/>
      <c r="N77" s="125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>
      <c r="A78" s="106">
        <v>4.0</v>
      </c>
      <c r="B78" s="109" t="s">
        <v>324</v>
      </c>
      <c r="C78" s="156" t="s">
        <v>10</v>
      </c>
      <c r="D78" s="156" t="s">
        <v>321</v>
      </c>
      <c r="E78" s="156" t="s">
        <v>12</v>
      </c>
      <c r="F78" s="156" t="s">
        <v>19</v>
      </c>
      <c r="G78" s="157" t="s">
        <v>28</v>
      </c>
      <c r="H78" s="159">
        <f>H67</f>
        <v>1000</v>
      </c>
      <c r="I78" s="109">
        <v>100063.0</v>
      </c>
      <c r="J78" s="7"/>
      <c r="K78" s="7"/>
      <c r="L78" s="7"/>
      <c r="M78" s="7"/>
      <c r="N78" s="125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>
      <c r="A79" s="106">
        <v>4.0</v>
      </c>
      <c r="B79" s="109" t="s">
        <v>324</v>
      </c>
      <c r="C79" s="106" t="s">
        <v>10</v>
      </c>
      <c r="D79" s="106" t="s">
        <v>299</v>
      </c>
      <c r="E79" s="106" t="s">
        <v>12</v>
      </c>
      <c r="F79" s="106" t="s">
        <v>19</v>
      </c>
      <c r="G79" s="160" t="s">
        <v>14</v>
      </c>
      <c r="H79" s="108">
        <f>H66</f>
        <v>81505.02</v>
      </c>
      <c r="I79" s="106">
        <v>100032.0</v>
      </c>
      <c r="J79" s="7"/>
      <c r="K79" s="7"/>
      <c r="L79" s="7"/>
      <c r="M79" s="7"/>
      <c r="N79" s="125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>
      <c r="A80" s="106">
        <v>4.0</v>
      </c>
      <c r="B80" s="109" t="s">
        <v>324</v>
      </c>
      <c r="C80" s="106" t="s">
        <v>10</v>
      </c>
      <c r="D80" s="109" t="s">
        <v>326</v>
      </c>
      <c r="E80" s="106" t="s">
        <v>18</v>
      </c>
      <c r="F80" s="106" t="s">
        <v>19</v>
      </c>
      <c r="G80" s="110"/>
      <c r="H80" s="108">
        <f>AA13</f>
        <v>283.8475397</v>
      </c>
      <c r="I80" s="109">
        <v>300014.0</v>
      </c>
      <c r="J80" s="7"/>
      <c r="K80" s="7"/>
      <c r="L80" s="7"/>
      <c r="M80" s="7"/>
      <c r="N80" s="125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>
      <c r="A81" s="106">
        <v>4.0</v>
      </c>
      <c r="B81" s="109" t="s">
        <v>324</v>
      </c>
      <c r="C81" s="106" t="s">
        <v>10</v>
      </c>
      <c r="D81" s="106" t="s">
        <v>298</v>
      </c>
      <c r="E81" s="106" t="s">
        <v>12</v>
      </c>
      <c r="F81" s="106" t="s">
        <v>13</v>
      </c>
      <c r="G81" s="110"/>
      <c r="H81" s="141">
        <v>283.85</v>
      </c>
      <c r="I81" s="106">
        <v>100030.0</v>
      </c>
      <c r="J81" s="7"/>
      <c r="K81" s="7"/>
      <c r="L81" s="7"/>
      <c r="M81" s="7"/>
      <c r="N81" s="125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>
      <c r="A82" s="43" t="s">
        <v>300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125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>
      <c r="A83" s="89"/>
      <c r="B83" s="89"/>
      <c r="C83" s="89"/>
      <c r="D83" s="89"/>
      <c r="E83" s="89"/>
      <c r="F83" s="89"/>
      <c r="G83" s="89"/>
      <c r="H83" s="89"/>
      <c r="I83" s="89"/>
      <c r="J83" s="7"/>
      <c r="K83" s="7"/>
      <c r="L83" s="7"/>
      <c r="M83" s="7"/>
      <c r="N83" s="125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89"/>
      <c r="B84" s="89"/>
      <c r="C84" s="89"/>
      <c r="D84" s="89"/>
      <c r="E84" s="89"/>
      <c r="F84" s="89"/>
      <c r="G84" s="89"/>
      <c r="H84" s="89"/>
      <c r="I84" s="89"/>
      <c r="J84" s="7"/>
      <c r="K84" s="7"/>
      <c r="L84" s="19">
        <f>AC19</f>
        <v>2384.319334</v>
      </c>
      <c r="M84" s="7"/>
      <c r="N84" s="125"/>
      <c r="O84" s="7"/>
      <c r="P84" s="7"/>
      <c r="Q84" s="7"/>
      <c r="R84" s="7"/>
      <c r="S84" s="7"/>
      <c r="T84" s="7"/>
      <c r="U84" s="7"/>
      <c r="V84" s="7"/>
      <c r="W84" s="7"/>
    </row>
    <row r="85">
      <c r="A85" s="142" t="s">
        <v>301</v>
      </c>
      <c r="B85" s="89"/>
      <c r="C85" s="89"/>
      <c r="D85" s="89"/>
      <c r="E85" s="89"/>
      <c r="F85" s="89"/>
      <c r="G85" s="89"/>
      <c r="H85" s="89"/>
      <c r="I85" s="89"/>
      <c r="J85" s="7"/>
      <c r="K85" s="11" t="s">
        <v>327</v>
      </c>
      <c r="L85" s="7"/>
      <c r="M85" s="7"/>
      <c r="N85" s="125"/>
      <c r="O85" s="7"/>
      <c r="P85" s="7"/>
      <c r="Q85" s="7"/>
      <c r="R85" s="7"/>
      <c r="S85" s="7"/>
      <c r="T85" s="7"/>
      <c r="U85" s="7"/>
      <c r="V85" s="7"/>
      <c r="W85" s="7"/>
    </row>
    <row r="86">
      <c r="A86" s="89"/>
      <c r="B86" s="89"/>
      <c r="C86" s="89"/>
      <c r="E86" s="89"/>
      <c r="F86" s="89"/>
      <c r="G86" s="89"/>
      <c r="H86" s="89"/>
      <c r="I86" s="89"/>
      <c r="J86" s="7"/>
      <c r="K86" s="7"/>
      <c r="L86" s="7"/>
      <c r="M86" s="7"/>
      <c r="N86" s="125"/>
      <c r="O86" s="7"/>
      <c r="P86" s="7"/>
      <c r="Q86" s="7"/>
      <c r="R86" s="7"/>
      <c r="S86" s="7"/>
      <c r="T86" s="7"/>
      <c r="U86" s="7"/>
      <c r="V86" s="7"/>
      <c r="W86" s="7"/>
    </row>
    <row r="87">
      <c r="A87" s="7"/>
      <c r="B87" s="43" t="s">
        <v>297</v>
      </c>
      <c r="C87" s="101" t="s">
        <v>57</v>
      </c>
      <c r="D87" s="102" t="s">
        <v>86</v>
      </c>
      <c r="F87" s="7"/>
      <c r="G87" s="7"/>
      <c r="H87" s="7"/>
      <c r="I87" s="7"/>
      <c r="J87" s="19">
        <f>H89-H90-H91</f>
        <v>-447.6193337</v>
      </c>
      <c r="K87" s="7"/>
      <c r="L87" s="11" t="s">
        <v>328</v>
      </c>
      <c r="M87" s="7"/>
      <c r="N87" s="125"/>
      <c r="O87" s="7"/>
      <c r="P87" s="7"/>
      <c r="Q87" s="7"/>
      <c r="R87" s="7"/>
      <c r="S87" s="7"/>
      <c r="T87" s="7"/>
      <c r="U87" s="7"/>
      <c r="V87" s="7"/>
      <c r="W87" s="7"/>
    </row>
    <row r="88">
      <c r="A88" s="92" t="s">
        <v>0</v>
      </c>
      <c r="B88" s="92" t="s">
        <v>1</v>
      </c>
      <c r="C88" s="92" t="s">
        <v>2</v>
      </c>
      <c r="D88" s="92" t="s">
        <v>3</v>
      </c>
      <c r="E88" s="92" t="s">
        <v>4</v>
      </c>
      <c r="F88" s="92" t="s">
        <v>5</v>
      </c>
      <c r="G88" s="92" t="s">
        <v>6</v>
      </c>
      <c r="H88" s="92" t="s">
        <v>7</v>
      </c>
      <c r="I88" s="9" t="s">
        <v>8</v>
      </c>
      <c r="J88" s="11" t="s">
        <v>329</v>
      </c>
      <c r="K88" s="11" t="s">
        <v>330</v>
      </c>
      <c r="L88" s="11">
        <v>82505.0</v>
      </c>
      <c r="M88" s="19">
        <v>84889.33754739727</v>
      </c>
      <c r="N88" s="125"/>
      <c r="O88" s="7"/>
      <c r="P88" s="7"/>
      <c r="Q88" s="7"/>
      <c r="R88" s="7"/>
      <c r="S88" s="7"/>
      <c r="T88" s="7"/>
      <c r="U88" s="7"/>
      <c r="V88" s="7"/>
      <c r="W88" s="7"/>
    </row>
    <row r="89">
      <c r="A89" s="106">
        <v>5.0</v>
      </c>
      <c r="B89" s="109" t="s">
        <v>324</v>
      </c>
      <c r="C89" s="106" t="s">
        <v>10</v>
      </c>
      <c r="D89" s="106" t="str">
        <f t="shared" ref="D89:E89" si="6">D75</f>
        <v>Invoice Discounting - Clearing</v>
      </c>
      <c r="E89" s="106" t="str">
        <f t="shared" si="6"/>
        <v>Current Liability</v>
      </c>
      <c r="F89" s="106" t="s">
        <v>13</v>
      </c>
      <c r="G89" s="110"/>
      <c r="H89" s="143">
        <f>81505.02+2384.32+1000</f>
        <v>84889.34</v>
      </c>
      <c r="I89" s="106">
        <f>I75</f>
        <v>200086</v>
      </c>
      <c r="J89" s="19">
        <f>1.1*K89</f>
        <v>94970.656</v>
      </c>
      <c r="K89" s="153">
        <v>86336.96</v>
      </c>
      <c r="L89" s="7"/>
      <c r="M89" s="19">
        <v>82505.01821369864</v>
      </c>
      <c r="N89" s="125"/>
      <c r="O89" s="7"/>
      <c r="P89" s="7"/>
      <c r="Q89" s="7"/>
      <c r="R89" s="7"/>
      <c r="S89" s="7"/>
      <c r="T89" s="7"/>
    </row>
    <row r="90">
      <c r="A90" s="106">
        <v>5.0</v>
      </c>
      <c r="B90" s="109" t="s">
        <v>324</v>
      </c>
      <c r="C90" s="106" t="s">
        <v>10</v>
      </c>
      <c r="D90" s="106" t="s">
        <v>303</v>
      </c>
      <c r="E90" s="106" t="s">
        <v>12</v>
      </c>
      <c r="F90" s="106" t="s">
        <v>19</v>
      </c>
      <c r="G90" s="110"/>
      <c r="H90" s="143">
        <f>H79</f>
        <v>81505.02</v>
      </c>
      <c r="I90" s="106">
        <v>100032.0</v>
      </c>
      <c r="J90" s="7"/>
      <c r="K90" s="19"/>
      <c r="L90" s="7"/>
      <c r="M90" s="161">
        <v>2384.31933369863</v>
      </c>
    </row>
    <row r="91">
      <c r="A91" s="106">
        <v>5.0</v>
      </c>
      <c r="B91" s="109" t="s">
        <v>324</v>
      </c>
      <c r="C91" s="106" t="s">
        <v>10</v>
      </c>
      <c r="D91" s="106" t="s">
        <v>15</v>
      </c>
      <c r="E91" s="106" t="s">
        <v>12</v>
      </c>
      <c r="F91" s="106" t="s">
        <v>19</v>
      </c>
      <c r="G91" s="110"/>
      <c r="H91" s="143">
        <f>AC19+1447.62</f>
        <v>3831.939334</v>
      </c>
      <c r="I91" s="106">
        <v>100035.0</v>
      </c>
      <c r="J91" s="11" t="s">
        <v>331</v>
      </c>
      <c r="K91" s="19">
        <f>H89</f>
        <v>84889.34</v>
      </c>
      <c r="L91" s="7"/>
      <c r="M91" s="161">
        <v>8476.282452602729</v>
      </c>
    </row>
    <row r="92">
      <c r="A92" s="106">
        <v>5.0</v>
      </c>
      <c r="B92" s="157" t="s">
        <v>324</v>
      </c>
      <c r="C92" s="156" t="s">
        <v>10</v>
      </c>
      <c r="D92" s="156" t="s">
        <v>321</v>
      </c>
      <c r="E92" s="156" t="s">
        <v>12</v>
      </c>
      <c r="F92" s="157" t="s">
        <v>19</v>
      </c>
      <c r="G92" s="162"/>
      <c r="H92" s="163">
        <f>H78</f>
        <v>1000</v>
      </c>
      <c r="I92" s="109">
        <v>100063.0</v>
      </c>
      <c r="J92" s="7"/>
      <c r="K92" s="19">
        <f>K91-H90</f>
        <v>3384.32</v>
      </c>
      <c r="L92" s="7"/>
      <c r="M92" s="161">
        <v>7028.659999999989</v>
      </c>
    </row>
    <row r="93">
      <c r="A93" s="109">
        <v>5.0</v>
      </c>
      <c r="B93" s="109" t="s">
        <v>324</v>
      </c>
      <c r="C93" s="106" t="s">
        <v>10</v>
      </c>
      <c r="D93" s="109" t="s">
        <v>318</v>
      </c>
      <c r="E93" s="106" t="s">
        <v>319</v>
      </c>
      <c r="F93" s="109" t="s">
        <v>13</v>
      </c>
      <c r="G93" s="109"/>
      <c r="H93" s="164">
        <v>1447.62</v>
      </c>
      <c r="I93" s="109">
        <v>300008.0</v>
      </c>
      <c r="J93" s="7"/>
      <c r="K93" s="19">
        <f>K92-H92</f>
        <v>2384.32</v>
      </c>
      <c r="L93" s="7"/>
      <c r="M93" s="161"/>
    </row>
    <row r="94">
      <c r="A94" s="109"/>
      <c r="B94" s="109"/>
      <c r="C94" s="106"/>
      <c r="D94" s="106"/>
      <c r="E94" s="106"/>
      <c r="F94" s="106"/>
      <c r="G94" s="110"/>
      <c r="H94" s="143"/>
      <c r="I94" s="106"/>
      <c r="K94" s="19"/>
      <c r="L94" s="7"/>
      <c r="M94" s="161">
        <v>1447.6224526027395</v>
      </c>
    </row>
    <row r="95">
      <c r="A95" s="106"/>
      <c r="B95" s="109"/>
      <c r="C95" s="106"/>
      <c r="D95" s="106"/>
      <c r="E95" s="106"/>
      <c r="F95" s="106"/>
      <c r="G95" s="110"/>
      <c r="H95" s="143"/>
      <c r="I95" s="106"/>
      <c r="J95" s="11"/>
      <c r="K95" s="19"/>
      <c r="L95" s="7"/>
    </row>
    <row r="96">
      <c r="A96" s="144"/>
      <c r="B96" s="144"/>
      <c r="C96" s="144"/>
      <c r="D96" s="144"/>
      <c r="E96" s="144"/>
      <c r="F96" s="144"/>
      <c r="G96" s="144"/>
      <c r="H96" s="144"/>
      <c r="I96" s="144"/>
      <c r="J96" s="7"/>
      <c r="K96" s="7"/>
      <c r="L96" s="7"/>
    </row>
    <row r="97">
      <c r="A97" s="145" t="s">
        <v>305</v>
      </c>
      <c r="B97" s="89"/>
      <c r="C97" s="89"/>
      <c r="D97" s="89"/>
      <c r="E97" s="89"/>
      <c r="F97" s="89"/>
      <c r="G97" s="89"/>
      <c r="H97" s="90">
        <f>H91-H93</f>
        <v>2384.319334</v>
      </c>
      <c r="I97" s="144">
        <f>81505.02+2384.32+1000</f>
        <v>84889.34</v>
      </c>
      <c r="J97" s="7"/>
      <c r="K97" s="7"/>
      <c r="L97" s="19">
        <f>H90+H91+H92+H93</f>
        <v>87784.57933</v>
      </c>
    </row>
    <row r="98">
      <c r="A98" s="142" t="s">
        <v>41</v>
      </c>
      <c r="B98" s="146">
        <v>45903.0</v>
      </c>
      <c r="C98" s="89"/>
      <c r="D98" s="89"/>
      <c r="E98" s="89"/>
      <c r="F98" s="89"/>
      <c r="G98" s="89"/>
      <c r="H98" s="89"/>
      <c r="I98" s="165">
        <v>1447.62</v>
      </c>
      <c r="J98" s="7"/>
      <c r="K98" s="11" t="s">
        <v>332</v>
      </c>
      <c r="L98" s="19">
        <f>H89+H93</f>
        <v>86336.96</v>
      </c>
    </row>
    <row r="99">
      <c r="B99" s="43" t="s">
        <v>297</v>
      </c>
      <c r="C99" s="101" t="s">
        <v>57</v>
      </c>
      <c r="D99" s="102" t="s">
        <v>86</v>
      </c>
      <c r="F99" s="147" t="s">
        <v>306</v>
      </c>
      <c r="G99" s="7"/>
      <c r="H99" s="7"/>
      <c r="I99" s="7"/>
      <c r="J99" s="7"/>
      <c r="K99" s="100" t="s">
        <v>19</v>
      </c>
      <c r="L99" s="7"/>
    </row>
    <row r="100">
      <c r="A100" s="92" t="s">
        <v>0</v>
      </c>
      <c r="B100" s="92" t="s">
        <v>1</v>
      </c>
      <c r="C100" s="92" t="s">
        <v>2</v>
      </c>
      <c r="D100" s="92" t="s">
        <v>3</v>
      </c>
      <c r="E100" s="92" t="s">
        <v>4</v>
      </c>
      <c r="F100" s="92" t="s">
        <v>5</v>
      </c>
      <c r="G100" s="92" t="s">
        <v>6</v>
      </c>
      <c r="H100" s="92" t="s">
        <v>7</v>
      </c>
      <c r="I100" s="9" t="s">
        <v>8</v>
      </c>
      <c r="J100" s="7"/>
      <c r="L100" s="7"/>
    </row>
    <row r="101">
      <c r="A101" s="106">
        <v>6.0</v>
      </c>
      <c r="B101" s="106" t="s">
        <v>52</v>
      </c>
      <c r="C101" s="106" t="s">
        <v>10</v>
      </c>
      <c r="D101" s="106" t="s">
        <v>155</v>
      </c>
      <c r="E101" s="106" t="s">
        <v>156</v>
      </c>
      <c r="F101" s="106" t="s">
        <v>13</v>
      </c>
      <c r="G101" s="106" t="s">
        <v>156</v>
      </c>
      <c r="H101" s="108">
        <f>H102</f>
        <v>82505.01821</v>
      </c>
      <c r="I101" s="106">
        <v>400041.0</v>
      </c>
      <c r="J101" s="7"/>
      <c r="L101" s="7"/>
    </row>
    <row r="102">
      <c r="A102" s="106">
        <v>6.0</v>
      </c>
      <c r="B102" s="106" t="s">
        <v>52</v>
      </c>
      <c r="C102" s="106" t="s">
        <v>10</v>
      </c>
      <c r="D102" s="106" t="s">
        <v>299</v>
      </c>
      <c r="E102" s="106" t="s">
        <v>12</v>
      </c>
      <c r="F102" s="106" t="s">
        <v>19</v>
      </c>
      <c r="G102" s="110"/>
      <c r="H102" s="108">
        <f>U23</f>
        <v>82505.01821</v>
      </c>
      <c r="I102" s="106">
        <v>100032.0</v>
      </c>
      <c r="J102" s="7"/>
      <c r="L102" s="7"/>
    </row>
    <row r="103">
      <c r="A103" s="145"/>
      <c r="B103" s="89"/>
      <c r="C103" s="89"/>
      <c r="D103" s="89"/>
      <c r="E103" s="89"/>
      <c r="F103" s="89"/>
      <c r="G103" s="89"/>
      <c r="H103" s="89"/>
      <c r="I103" s="89"/>
      <c r="J103" s="7"/>
      <c r="L103" s="7"/>
    </row>
    <row r="104">
      <c r="A104" s="145" t="s">
        <v>307</v>
      </c>
      <c r="B104" s="89"/>
      <c r="C104" s="89"/>
      <c r="D104" s="89"/>
      <c r="E104" s="89"/>
      <c r="F104" s="89"/>
      <c r="G104" s="89"/>
      <c r="H104" s="89"/>
      <c r="I104" s="89"/>
      <c r="J104" s="7"/>
      <c r="L104" s="7"/>
    </row>
    <row r="105">
      <c r="A105" s="142" t="s">
        <v>41</v>
      </c>
      <c r="B105" s="146">
        <v>45903.0</v>
      </c>
      <c r="C105" s="144"/>
      <c r="D105" s="144"/>
      <c r="E105" s="144"/>
      <c r="F105" s="144"/>
      <c r="G105" s="144"/>
      <c r="H105" s="148"/>
      <c r="I105" s="89"/>
      <c r="J105" s="7"/>
    </row>
    <row r="106">
      <c r="A106" s="7"/>
      <c r="B106" s="43" t="s">
        <v>297</v>
      </c>
      <c r="C106" s="101" t="s">
        <v>57</v>
      </c>
      <c r="D106" s="102" t="s">
        <v>86</v>
      </c>
      <c r="F106" s="147" t="s">
        <v>308</v>
      </c>
      <c r="G106" s="7"/>
      <c r="H106" s="7"/>
      <c r="I106" s="7"/>
      <c r="J106" s="7"/>
    </row>
    <row r="107">
      <c r="A107" s="92" t="s">
        <v>0</v>
      </c>
      <c r="B107" s="92" t="s">
        <v>1</v>
      </c>
      <c r="C107" s="92" t="s">
        <v>2</v>
      </c>
      <c r="D107" s="92" t="s">
        <v>3</v>
      </c>
      <c r="E107" s="92" t="s">
        <v>4</v>
      </c>
      <c r="F107" s="92" t="s">
        <v>5</v>
      </c>
      <c r="G107" s="92" t="s">
        <v>6</v>
      </c>
      <c r="H107" s="92" t="s">
        <v>7</v>
      </c>
      <c r="I107" s="9" t="s">
        <v>8</v>
      </c>
      <c r="J107" s="7"/>
    </row>
    <row r="108">
      <c r="A108" s="106">
        <v>7.0</v>
      </c>
      <c r="B108" s="106" t="s">
        <v>52</v>
      </c>
      <c r="C108" s="106" t="s">
        <v>10</v>
      </c>
      <c r="D108" s="106" t="s">
        <v>155</v>
      </c>
      <c r="E108" s="106" t="s">
        <v>156</v>
      </c>
      <c r="F108" s="106" t="s">
        <v>13</v>
      </c>
      <c r="G108" s="106" t="s">
        <v>156</v>
      </c>
      <c r="H108" s="108">
        <f>V23/2</f>
        <v>43168.48</v>
      </c>
      <c r="I108" s="106">
        <v>400041.0</v>
      </c>
      <c r="J108" s="7"/>
    </row>
    <row r="109">
      <c r="A109" s="106">
        <v>7.0</v>
      </c>
      <c r="B109" s="106" t="s">
        <v>52</v>
      </c>
      <c r="C109" s="106" t="s">
        <v>10</v>
      </c>
      <c r="D109" s="106" t="s">
        <v>299</v>
      </c>
      <c r="E109" s="106" t="s">
        <v>12</v>
      </c>
      <c r="F109" s="106" t="s">
        <v>19</v>
      </c>
      <c r="G109" s="110"/>
      <c r="H109" s="108">
        <f>H108</f>
        <v>43168.48</v>
      </c>
      <c r="I109" s="106">
        <v>100032.0</v>
      </c>
      <c r="J109" s="7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7"/>
    </row>
  </sheetData>
  <mergeCells count="8">
    <mergeCell ref="A1:C1"/>
    <mergeCell ref="F13:G13"/>
    <mergeCell ref="F62:G62"/>
    <mergeCell ref="D73:E73"/>
    <mergeCell ref="C86:D86"/>
    <mergeCell ref="D87:E87"/>
    <mergeCell ref="D99:E99"/>
    <mergeCell ref="D106:E106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3.0"/>
    <col customWidth="1" min="7" max="7" width="16.25"/>
  </cols>
  <sheetData>
    <row r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>
      <c r="A2" s="91" t="s">
        <v>333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7"/>
      <c r="B3" s="8" t="s">
        <v>334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>
      <c r="A4" s="92" t="s">
        <v>0</v>
      </c>
      <c r="B4" s="92" t="s">
        <v>1</v>
      </c>
      <c r="C4" s="92" t="s">
        <v>2</v>
      </c>
      <c r="D4" s="92" t="s">
        <v>3</v>
      </c>
      <c r="E4" s="92" t="s">
        <v>4</v>
      </c>
      <c r="F4" s="92" t="s">
        <v>5</v>
      </c>
      <c r="G4" s="92" t="s">
        <v>6</v>
      </c>
      <c r="H4" s="92" t="s">
        <v>7</v>
      </c>
      <c r="I4" s="9" t="s">
        <v>8</v>
      </c>
      <c r="J4" s="7"/>
      <c r="K4" s="7"/>
      <c r="L4" s="7"/>
      <c r="M4" s="7"/>
      <c r="N4" s="126" t="s">
        <v>41</v>
      </c>
      <c r="O4" s="126" t="s">
        <v>270</v>
      </c>
      <c r="P4" s="126" t="s">
        <v>271</v>
      </c>
      <c r="Q4" s="126" t="s">
        <v>335</v>
      </c>
      <c r="R4" s="126" t="s">
        <v>272</v>
      </c>
      <c r="S4" s="126" t="s">
        <v>273</v>
      </c>
      <c r="T4" s="126" t="s">
        <v>274</v>
      </c>
      <c r="U4" s="126" t="s">
        <v>275</v>
      </c>
      <c r="V4" s="126" t="s">
        <v>276</v>
      </c>
      <c r="W4" s="126" t="s">
        <v>125</v>
      </c>
      <c r="X4" s="126" t="s">
        <v>277</v>
      </c>
      <c r="Y4" s="126" t="s">
        <v>278</v>
      </c>
      <c r="Z4" s="7"/>
      <c r="AA4" s="7"/>
      <c r="AB4" s="7"/>
      <c r="AC4" s="7"/>
      <c r="AD4" s="7"/>
      <c r="AE4" s="7"/>
      <c r="AF4" s="7"/>
      <c r="AG4" s="7"/>
    </row>
    <row r="5">
      <c r="A5" s="110"/>
      <c r="B5" s="106" t="s">
        <v>9</v>
      </c>
      <c r="C5" s="106" t="s">
        <v>10</v>
      </c>
      <c r="D5" s="106" t="s">
        <v>336</v>
      </c>
      <c r="E5" s="106" t="s">
        <v>45</v>
      </c>
      <c r="F5" s="106" t="s">
        <v>13</v>
      </c>
      <c r="G5" s="106" t="s">
        <v>14</v>
      </c>
      <c r="H5" s="108">
        <f>X5</f>
        <v>50400</v>
      </c>
      <c r="I5" s="106">
        <v>100033.0</v>
      </c>
      <c r="J5" s="7"/>
      <c r="K5" s="7"/>
      <c r="L5" s="7"/>
      <c r="M5" s="7"/>
      <c r="N5" s="129">
        <v>45707.0</v>
      </c>
      <c r="O5" s="129">
        <f>N5+U5</f>
        <v>45797</v>
      </c>
      <c r="P5" s="132">
        <v>2.9163021824E10</v>
      </c>
      <c r="Q5" s="166"/>
      <c r="R5" s="167">
        <v>45603.0</v>
      </c>
      <c r="S5" s="132" t="s">
        <v>337</v>
      </c>
      <c r="T5" s="135">
        <v>50400.0</v>
      </c>
      <c r="U5" s="132">
        <v>90.0</v>
      </c>
      <c r="V5" s="134">
        <f>1.75%*12</f>
        <v>0.21</v>
      </c>
      <c r="W5" s="135">
        <f>T5*(V5/365*U5)</f>
        <v>2609.753425</v>
      </c>
      <c r="X5" s="135">
        <f>T5</f>
        <v>50400</v>
      </c>
      <c r="Y5" s="135">
        <f>X5+W5</f>
        <v>53009.75342</v>
      </c>
      <c r="Z5" s="7"/>
      <c r="AA5" s="7"/>
      <c r="AB5" s="7"/>
      <c r="AC5" s="7"/>
      <c r="AD5" s="7"/>
      <c r="AE5" s="7"/>
      <c r="AF5" s="7"/>
      <c r="AG5" s="7"/>
    </row>
    <row r="6">
      <c r="A6" s="110"/>
      <c r="B6" s="106" t="s">
        <v>9</v>
      </c>
      <c r="C6" s="106" t="s">
        <v>10</v>
      </c>
      <c r="D6" s="106" t="s">
        <v>338</v>
      </c>
      <c r="E6" s="106" t="s">
        <v>22</v>
      </c>
      <c r="F6" s="106" t="s">
        <v>19</v>
      </c>
      <c r="G6" s="106" t="s">
        <v>23</v>
      </c>
      <c r="H6" s="108">
        <f>X5</f>
        <v>50400</v>
      </c>
      <c r="I6" s="106">
        <v>200042.0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53" t="s">
        <v>112</v>
      </c>
      <c r="O7" s="53" t="s">
        <v>113</v>
      </c>
      <c r="P7" s="53" t="s">
        <v>114</v>
      </c>
      <c r="Q7" s="53" t="s">
        <v>115</v>
      </c>
      <c r="R7" s="53" t="s">
        <v>116</v>
      </c>
      <c r="S7" s="53" t="s">
        <v>117</v>
      </c>
      <c r="T7" s="7" t="s">
        <v>339</v>
      </c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54">
        <v>1.0</v>
      </c>
      <c r="O8" s="53" t="s">
        <v>67</v>
      </c>
      <c r="P8" s="54">
        <v>50400.0</v>
      </c>
      <c r="Q8" s="54">
        <v>50400.0</v>
      </c>
      <c r="R8" s="54">
        <v>289.97</v>
      </c>
      <c r="S8" s="54">
        <v>289.97</v>
      </c>
      <c r="T8" s="56">
        <f>P8*V5/365*10</f>
        <v>289.9726027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>
      <c r="A9" s="7"/>
      <c r="B9" s="7"/>
      <c r="C9" s="28" t="s">
        <v>39</v>
      </c>
      <c r="D9" s="151" t="s">
        <v>56</v>
      </c>
      <c r="E9" s="7"/>
      <c r="F9" s="7"/>
      <c r="G9" s="7"/>
      <c r="H9" s="7"/>
      <c r="I9" s="7"/>
      <c r="J9" s="7"/>
      <c r="K9" s="7"/>
      <c r="L9" s="7"/>
      <c r="M9" s="7"/>
      <c r="N9" s="54">
        <v>2.0</v>
      </c>
      <c r="O9" s="53" t="s">
        <v>103</v>
      </c>
      <c r="P9" s="54">
        <v>50400.0</v>
      </c>
      <c r="Q9" s="54">
        <v>50400.0</v>
      </c>
      <c r="R9" s="54">
        <v>898.92</v>
      </c>
      <c r="S9" s="54">
        <v>898.92</v>
      </c>
      <c r="T9" s="56">
        <f>P9*V5/365*31</f>
        <v>898.9150685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>
      <c r="A10" s="7"/>
      <c r="B10" s="7"/>
      <c r="C10" s="101" t="s">
        <v>57</v>
      </c>
      <c r="D10" s="102" t="s">
        <v>58</v>
      </c>
      <c r="E10" s="30"/>
      <c r="F10" s="34" t="s">
        <v>59</v>
      </c>
      <c r="H10" s="7"/>
      <c r="I10" s="7"/>
      <c r="J10" s="7"/>
      <c r="K10" s="7"/>
      <c r="L10" s="7"/>
      <c r="M10" s="7"/>
      <c r="N10" s="54">
        <v>3.0</v>
      </c>
      <c r="O10" s="53" t="s">
        <v>118</v>
      </c>
      <c r="P10" s="54">
        <v>50400.0</v>
      </c>
      <c r="Q10" s="54">
        <v>50400.0</v>
      </c>
      <c r="R10" s="54">
        <v>869.92</v>
      </c>
      <c r="S10" s="54">
        <v>869.92</v>
      </c>
      <c r="T10" s="56">
        <f>P10*V5/365*30</f>
        <v>869.9178082</v>
      </c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54">
        <v>4.0</v>
      </c>
      <c r="O11" s="53" t="s">
        <v>139</v>
      </c>
      <c r="P11" s="54">
        <v>50400.0</v>
      </c>
      <c r="Q11" s="54">
        <v>0.0</v>
      </c>
      <c r="R11" s="54">
        <v>550.95</v>
      </c>
      <c r="S11" s="54">
        <v>550.95</v>
      </c>
      <c r="T11" s="56">
        <f>P11*V5/365*19</f>
        <v>550.9479452</v>
      </c>
      <c r="U11" s="56">
        <f>550.95-144</f>
        <v>406.95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>
      <c r="A12" s="92" t="s">
        <v>0</v>
      </c>
      <c r="B12" s="92" t="s">
        <v>1</v>
      </c>
      <c r="C12" s="92" t="s">
        <v>2</v>
      </c>
      <c r="D12" s="92" t="s">
        <v>3</v>
      </c>
      <c r="E12" s="92" t="s">
        <v>4</v>
      </c>
      <c r="F12" s="92" t="s">
        <v>5</v>
      </c>
      <c r="G12" s="92" t="s">
        <v>6</v>
      </c>
      <c r="H12" s="92" t="s">
        <v>7</v>
      </c>
      <c r="I12" s="9" t="s">
        <v>8</v>
      </c>
      <c r="J12" s="7"/>
      <c r="K12" s="7"/>
      <c r="L12" s="7"/>
      <c r="M12" s="7"/>
      <c r="N12" s="8" t="s">
        <v>290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>
      <c r="A13" s="110"/>
      <c r="B13" s="106" t="s">
        <v>9</v>
      </c>
      <c r="C13" s="106" t="s">
        <v>10</v>
      </c>
      <c r="D13" s="106" t="s">
        <v>340</v>
      </c>
      <c r="E13" s="106" t="s">
        <v>22</v>
      </c>
      <c r="F13" s="106" t="s">
        <v>13</v>
      </c>
      <c r="G13" s="106" t="s">
        <v>23</v>
      </c>
      <c r="H13" s="108">
        <f>X5</f>
        <v>50400</v>
      </c>
      <c r="I13" s="106">
        <v>200042.0</v>
      </c>
      <c r="J13" s="7"/>
      <c r="K13" s="7"/>
      <c r="L13" s="7"/>
      <c r="M13" s="7"/>
      <c r="N13" s="126" t="s">
        <v>41</v>
      </c>
      <c r="O13" s="126" t="s">
        <v>270</v>
      </c>
      <c r="P13" s="126" t="s">
        <v>271</v>
      </c>
      <c r="Q13" s="126" t="s">
        <v>335</v>
      </c>
      <c r="R13" s="126" t="s">
        <v>272</v>
      </c>
      <c r="S13" s="126" t="s">
        <v>273</v>
      </c>
      <c r="T13" s="126" t="s">
        <v>274</v>
      </c>
      <c r="U13" s="126" t="s">
        <v>275</v>
      </c>
      <c r="V13" s="126" t="s">
        <v>276</v>
      </c>
      <c r="W13" s="126" t="s">
        <v>125</v>
      </c>
      <c r="X13" s="126" t="s">
        <v>277</v>
      </c>
      <c r="Y13" s="126" t="s">
        <v>278</v>
      </c>
      <c r="Z13" s="126" t="s">
        <v>281</v>
      </c>
      <c r="AA13" s="126" t="s">
        <v>282</v>
      </c>
      <c r="AB13" s="126" t="s">
        <v>283</v>
      </c>
      <c r="AC13" s="126" t="s">
        <v>284</v>
      </c>
      <c r="AD13" s="126" t="s">
        <v>341</v>
      </c>
      <c r="AE13" s="126" t="s">
        <v>286</v>
      </c>
      <c r="AF13" s="126" t="s">
        <v>342</v>
      </c>
      <c r="AG13" s="53" t="s">
        <v>287</v>
      </c>
    </row>
    <row r="14">
      <c r="A14" s="110"/>
      <c r="B14" s="106" t="s">
        <v>9</v>
      </c>
      <c r="C14" s="106" t="s">
        <v>10</v>
      </c>
      <c r="D14" s="106" t="s">
        <v>60</v>
      </c>
      <c r="E14" s="106" t="s">
        <v>61</v>
      </c>
      <c r="F14" s="106" t="s">
        <v>19</v>
      </c>
      <c r="G14" s="106" t="s">
        <v>62</v>
      </c>
      <c r="H14" s="108">
        <f>H13</f>
        <v>50400</v>
      </c>
      <c r="I14" s="106">
        <v>100003.0</v>
      </c>
      <c r="J14" s="7"/>
      <c r="K14" s="7"/>
      <c r="L14" s="7"/>
      <c r="M14" s="7"/>
      <c r="N14" s="129">
        <v>45707.0</v>
      </c>
      <c r="O14" s="129">
        <f>N14+U14</f>
        <v>45797</v>
      </c>
      <c r="P14" s="132">
        <v>2.9163021824E10</v>
      </c>
      <c r="Q14" s="166"/>
      <c r="R14" s="167">
        <v>45603.0</v>
      </c>
      <c r="S14" s="132" t="s">
        <v>337</v>
      </c>
      <c r="T14" s="135">
        <v>50400.0</v>
      </c>
      <c r="U14" s="132">
        <v>90.0</v>
      </c>
      <c r="V14" s="134">
        <f>1.75%*12</f>
        <v>0.21</v>
      </c>
      <c r="W14" s="135">
        <f>T14*(V14/365*U14)</f>
        <v>2609.753425</v>
      </c>
      <c r="X14" s="135">
        <f>T14</f>
        <v>50400</v>
      </c>
      <c r="Y14" s="135">
        <f>X14+W14</f>
        <v>53009.75342</v>
      </c>
      <c r="Z14" s="53" t="s">
        <v>343</v>
      </c>
      <c r="AA14" s="168">
        <v>53100.75</v>
      </c>
      <c r="AB14" s="169">
        <v>45792.0</v>
      </c>
      <c r="AC14" s="135">
        <f>AB14-N14</f>
        <v>85</v>
      </c>
      <c r="AD14" s="135">
        <f>W14-AG14</f>
        <v>144.9863014</v>
      </c>
      <c r="AE14" s="135">
        <f>AA14-Y14</f>
        <v>90.99657534</v>
      </c>
      <c r="AF14" s="135">
        <f>AD14+AE14</f>
        <v>235.9828767</v>
      </c>
      <c r="AG14" s="135">
        <f>T14*V14/365*AC14</f>
        <v>2464.767123</v>
      </c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8" t="s">
        <v>143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>
      <c r="A17" s="7"/>
      <c r="B17" s="53" t="s">
        <v>67</v>
      </c>
      <c r="C17" s="43" t="s">
        <v>311</v>
      </c>
      <c r="D17" s="151" t="s">
        <v>64</v>
      </c>
      <c r="E17" s="7"/>
      <c r="F17" s="7"/>
      <c r="G17" s="7"/>
      <c r="H17" s="7"/>
      <c r="I17" s="7"/>
      <c r="J17" s="7"/>
      <c r="K17" s="7"/>
      <c r="L17" s="7"/>
      <c r="M17" s="7"/>
      <c r="N17" s="126" t="s">
        <v>41</v>
      </c>
      <c r="O17" s="126" t="s">
        <v>270</v>
      </c>
      <c r="P17" s="126" t="s">
        <v>271</v>
      </c>
      <c r="Q17" s="126" t="s">
        <v>335</v>
      </c>
      <c r="R17" s="126" t="s">
        <v>272</v>
      </c>
      <c r="S17" s="126" t="s">
        <v>273</v>
      </c>
      <c r="T17" s="126" t="s">
        <v>274</v>
      </c>
      <c r="U17" s="126" t="s">
        <v>275</v>
      </c>
      <c r="V17" s="126" t="s">
        <v>276</v>
      </c>
      <c r="W17" s="126" t="s">
        <v>125</v>
      </c>
      <c r="X17" s="126" t="s">
        <v>277</v>
      </c>
      <c r="Y17" s="126" t="s">
        <v>278</v>
      </c>
      <c r="Z17" s="126" t="s">
        <v>281</v>
      </c>
      <c r="AA17" s="126" t="s">
        <v>282</v>
      </c>
      <c r="AB17" s="126" t="s">
        <v>283</v>
      </c>
      <c r="AC17" s="126" t="s">
        <v>284</v>
      </c>
      <c r="AD17" s="126" t="s">
        <v>150</v>
      </c>
      <c r="AE17" s="126" t="s">
        <v>286</v>
      </c>
      <c r="AF17" s="126" t="s">
        <v>342</v>
      </c>
      <c r="AG17" s="53" t="s">
        <v>287</v>
      </c>
    </row>
    <row r="18">
      <c r="A18" s="7"/>
      <c r="B18" s="7"/>
      <c r="C18" s="101" t="s">
        <v>57</v>
      </c>
      <c r="D18" s="102" t="s">
        <v>167</v>
      </c>
      <c r="E18" s="30"/>
      <c r="F18" s="7"/>
      <c r="G18" s="7"/>
      <c r="H18" s="7"/>
      <c r="I18" s="7"/>
      <c r="J18" s="7"/>
      <c r="K18" s="7"/>
      <c r="L18" s="7"/>
      <c r="M18" s="7"/>
      <c r="N18" s="129">
        <v>45707.0</v>
      </c>
      <c r="O18" s="129">
        <f>N18+U18</f>
        <v>45797</v>
      </c>
      <c r="P18" s="132">
        <v>2.9163021824E10</v>
      </c>
      <c r="Q18" s="166"/>
      <c r="R18" s="167">
        <v>45603.0</v>
      </c>
      <c r="S18" s="132" t="s">
        <v>337</v>
      </c>
      <c r="T18" s="135">
        <v>50400.0</v>
      </c>
      <c r="U18" s="132">
        <v>90.0</v>
      </c>
      <c r="V18" s="134">
        <f>1.75%*12</f>
        <v>0.21</v>
      </c>
      <c r="W18" s="135">
        <f>T18*(V18/365*U18)</f>
        <v>2609.753425</v>
      </c>
      <c r="X18" s="135">
        <f>T18</f>
        <v>50400</v>
      </c>
      <c r="Y18" s="135">
        <f>X18+W18</f>
        <v>53009.75342</v>
      </c>
      <c r="Z18" s="53" t="s">
        <v>344</v>
      </c>
      <c r="AA18" s="168">
        <f>53009.75+207.12</f>
        <v>53216.87</v>
      </c>
      <c r="AB18" s="169">
        <v>45802.0</v>
      </c>
      <c r="AC18" s="135">
        <f>AB18-N18</f>
        <v>95</v>
      </c>
      <c r="AD18" s="135">
        <f>T18*30%/365*(AC18-U18)</f>
        <v>207.1232877</v>
      </c>
      <c r="AE18" s="135">
        <f>AA18-Y18</f>
        <v>207.1165753</v>
      </c>
      <c r="AF18" s="135">
        <f>AD18+AE18</f>
        <v>414.239863</v>
      </c>
      <c r="AG18" s="135">
        <f>AD18+W18</f>
        <v>2816.876712</v>
      </c>
    </row>
    <row r="19">
      <c r="A19" s="92" t="s">
        <v>0</v>
      </c>
      <c r="B19" s="92" t="s">
        <v>1</v>
      </c>
      <c r="C19" s="92" t="s">
        <v>2</v>
      </c>
      <c r="D19" s="92" t="s">
        <v>3</v>
      </c>
      <c r="E19" s="152"/>
      <c r="F19" s="92" t="s">
        <v>5</v>
      </c>
      <c r="G19" s="92" t="s">
        <v>6</v>
      </c>
      <c r="H19" s="105" t="s">
        <v>7</v>
      </c>
      <c r="I19" s="9" t="s">
        <v>8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>
      <c r="A20" s="110"/>
      <c r="B20" s="106" t="s">
        <v>66</v>
      </c>
      <c r="C20" s="106" t="s">
        <v>10</v>
      </c>
      <c r="D20" s="106" t="s">
        <v>345</v>
      </c>
      <c r="E20" s="106" t="s">
        <v>18</v>
      </c>
      <c r="F20" s="106" t="s">
        <v>19</v>
      </c>
      <c r="G20" s="106" t="s">
        <v>69</v>
      </c>
      <c r="H20" s="108">
        <f>S8</f>
        <v>289.97</v>
      </c>
      <c r="I20" s="106">
        <v>300009.0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>
      <c r="A21" s="110"/>
      <c r="B21" s="106" t="s">
        <v>66</v>
      </c>
      <c r="C21" s="106" t="s">
        <v>10</v>
      </c>
      <c r="D21" s="106" t="s">
        <v>346</v>
      </c>
      <c r="E21" s="106" t="s">
        <v>12</v>
      </c>
      <c r="F21" s="106" t="s">
        <v>13</v>
      </c>
      <c r="G21" s="106" t="s">
        <v>69</v>
      </c>
      <c r="H21" s="108">
        <f>H20</f>
        <v>289.97</v>
      </c>
      <c r="I21" s="106">
        <v>100036.0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>
      <c r="A24" s="7"/>
      <c r="B24" s="53" t="s">
        <v>103</v>
      </c>
      <c r="C24" s="43" t="s">
        <v>312</v>
      </c>
      <c r="D24" s="151" t="s">
        <v>64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>
      <c r="A25" s="7"/>
      <c r="B25" s="7"/>
      <c r="C25" s="101" t="s">
        <v>57</v>
      </c>
      <c r="D25" s="102" t="s">
        <v>167</v>
      </c>
      <c r="E25" s="30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>
      <c r="A26" s="92" t="s">
        <v>0</v>
      </c>
      <c r="B26" s="92" t="s">
        <v>1</v>
      </c>
      <c r="C26" s="170" t="s">
        <v>2</v>
      </c>
      <c r="D26" s="92" t="s">
        <v>3</v>
      </c>
      <c r="E26" s="152"/>
      <c r="F26" s="92" t="s">
        <v>5</v>
      </c>
      <c r="G26" s="92" t="s">
        <v>6</v>
      </c>
      <c r="H26" s="92" t="s">
        <v>7</v>
      </c>
      <c r="I26" s="9" t="s">
        <v>8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>
      <c r="A27" s="110"/>
      <c r="B27" s="106" t="s">
        <v>66</v>
      </c>
      <c r="C27" s="106" t="s">
        <v>10</v>
      </c>
      <c r="D27" s="106" t="s">
        <v>345</v>
      </c>
      <c r="E27" s="106" t="s">
        <v>18</v>
      </c>
      <c r="F27" s="106" t="s">
        <v>19</v>
      </c>
      <c r="G27" s="106" t="s">
        <v>69</v>
      </c>
      <c r="H27" s="108">
        <f>R9</f>
        <v>898.92</v>
      </c>
      <c r="I27" s="106">
        <v>300009.0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>
      <c r="A28" s="110"/>
      <c r="B28" s="106" t="s">
        <v>66</v>
      </c>
      <c r="C28" s="106" t="s">
        <v>10</v>
      </c>
      <c r="D28" s="106" t="s">
        <v>346</v>
      </c>
      <c r="E28" s="106" t="s">
        <v>12</v>
      </c>
      <c r="F28" s="106" t="s">
        <v>13</v>
      </c>
      <c r="G28" s="106" t="s">
        <v>69</v>
      </c>
      <c r="H28" s="108">
        <f>H27</f>
        <v>898.92</v>
      </c>
      <c r="I28" s="106">
        <v>100036.0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>
      <c r="A30" s="7"/>
      <c r="B30" s="53" t="s">
        <v>118</v>
      </c>
      <c r="C30" s="43" t="s">
        <v>313</v>
      </c>
      <c r="D30" s="151" t="s">
        <v>64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>
      <c r="A31" s="7"/>
      <c r="B31" s="7"/>
      <c r="C31" s="101" t="s">
        <v>57</v>
      </c>
      <c r="D31" s="102" t="s">
        <v>167</v>
      </c>
      <c r="E31" s="30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>
      <c r="A32" s="92" t="s">
        <v>0</v>
      </c>
      <c r="B32" s="92" t="s">
        <v>1</v>
      </c>
      <c r="C32" s="92" t="s">
        <v>2</v>
      </c>
      <c r="D32" s="92" t="s">
        <v>3</v>
      </c>
      <c r="E32" s="152"/>
      <c r="F32" s="92" t="s">
        <v>5</v>
      </c>
      <c r="G32" s="92" t="s">
        <v>6</v>
      </c>
      <c r="H32" s="92" t="s">
        <v>7</v>
      </c>
      <c r="I32" s="9" t="s">
        <v>8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>
      <c r="A33" s="110"/>
      <c r="B33" s="106" t="s">
        <v>66</v>
      </c>
      <c r="C33" s="106" t="s">
        <v>10</v>
      </c>
      <c r="D33" s="106" t="s">
        <v>345</v>
      </c>
      <c r="E33" s="106" t="s">
        <v>18</v>
      </c>
      <c r="F33" s="106" t="s">
        <v>19</v>
      </c>
      <c r="G33" s="106" t="s">
        <v>69</v>
      </c>
      <c r="H33" s="106">
        <f>S10</f>
        <v>869.92</v>
      </c>
      <c r="I33" s="106">
        <v>300009.0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>
      <c r="A34" s="110"/>
      <c r="B34" s="106" t="s">
        <v>66</v>
      </c>
      <c r="C34" s="106" t="s">
        <v>10</v>
      </c>
      <c r="D34" s="106" t="s">
        <v>346</v>
      </c>
      <c r="E34" s="106" t="s">
        <v>12</v>
      </c>
      <c r="F34" s="106" t="s">
        <v>13</v>
      </c>
      <c r="G34" s="106" t="s">
        <v>69</v>
      </c>
      <c r="H34" s="106">
        <f>H33</f>
        <v>869.92</v>
      </c>
      <c r="I34" s="106">
        <v>100036.0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>
      <c r="A36" s="7"/>
      <c r="B36" s="53" t="s">
        <v>139</v>
      </c>
      <c r="C36" s="43" t="s">
        <v>314</v>
      </c>
      <c r="D36" s="151" t="s">
        <v>64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>
      <c r="A37" s="7"/>
      <c r="B37" s="7"/>
      <c r="C37" s="101" t="s">
        <v>57</v>
      </c>
      <c r="D37" s="102" t="s">
        <v>167</v>
      </c>
      <c r="E37" s="30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>
      <c r="A38" s="92" t="s">
        <v>0</v>
      </c>
      <c r="B38" s="92" t="s">
        <v>1</v>
      </c>
      <c r="C38" s="92" t="s">
        <v>2</v>
      </c>
      <c r="D38" s="92" t="s">
        <v>3</v>
      </c>
      <c r="E38" s="152"/>
      <c r="F38" s="92" t="s">
        <v>5</v>
      </c>
      <c r="G38" s="92" t="s">
        <v>6</v>
      </c>
      <c r="H38" s="92" t="s">
        <v>7</v>
      </c>
      <c r="I38" s="9" t="s">
        <v>8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>
      <c r="A39" s="110"/>
      <c r="B39" s="106" t="s">
        <v>66</v>
      </c>
      <c r="C39" s="106" t="s">
        <v>10</v>
      </c>
      <c r="D39" s="106" t="s">
        <v>345</v>
      </c>
      <c r="E39" s="106" t="s">
        <v>18</v>
      </c>
      <c r="F39" s="106" t="s">
        <v>19</v>
      </c>
      <c r="G39" s="106" t="s">
        <v>69</v>
      </c>
      <c r="H39" s="106">
        <f>S11</f>
        <v>550.95</v>
      </c>
      <c r="I39" s="106">
        <v>300009.0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>
      <c r="A40" s="110"/>
      <c r="B40" s="106" t="s">
        <v>66</v>
      </c>
      <c r="C40" s="106" t="s">
        <v>10</v>
      </c>
      <c r="D40" s="106" t="s">
        <v>346</v>
      </c>
      <c r="E40" s="106" t="s">
        <v>12</v>
      </c>
      <c r="F40" s="106" t="s">
        <v>13</v>
      </c>
      <c r="G40" s="106" t="s">
        <v>69</v>
      </c>
      <c r="H40" s="106">
        <f>H39</f>
        <v>550.95</v>
      </c>
      <c r="I40" s="106">
        <v>100036.0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>
      <c r="A43" s="8" t="s">
        <v>347</v>
      </c>
      <c r="B43" s="7"/>
      <c r="C43" s="8" t="s">
        <v>296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>
      <c r="A44" s="92" t="s">
        <v>0</v>
      </c>
      <c r="B44" s="92" t="s">
        <v>1</v>
      </c>
      <c r="C44" s="92" t="s">
        <v>2</v>
      </c>
      <c r="D44" s="92" t="s">
        <v>3</v>
      </c>
      <c r="E44" s="92" t="s">
        <v>4</v>
      </c>
      <c r="F44" s="92" t="s">
        <v>5</v>
      </c>
      <c r="G44" s="92" t="s">
        <v>6</v>
      </c>
      <c r="H44" s="92" t="s">
        <v>7</v>
      </c>
      <c r="I44" s="9" t="s">
        <v>8</v>
      </c>
      <c r="J44" s="7"/>
      <c r="K44" s="7"/>
      <c r="L44" s="7"/>
      <c r="M44" s="7"/>
      <c r="N44" s="56"/>
      <c r="O44" s="5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>
      <c r="A45" s="110"/>
      <c r="B45" s="106" t="s">
        <v>140</v>
      </c>
      <c r="C45" s="106" t="s">
        <v>10</v>
      </c>
      <c r="D45" s="106" t="s">
        <v>79</v>
      </c>
      <c r="E45" s="106" t="s">
        <v>12</v>
      </c>
      <c r="F45" s="106" t="s">
        <v>13</v>
      </c>
      <c r="G45" s="106" t="s">
        <v>90</v>
      </c>
      <c r="H45" s="108">
        <f>H46+H47</f>
        <v>52864.76712</v>
      </c>
      <c r="I45" s="106">
        <v>100062.0</v>
      </c>
      <c r="J45" s="11"/>
      <c r="K45" s="11"/>
      <c r="L45" s="11"/>
      <c r="M45" s="7"/>
      <c r="N45" s="56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>
      <c r="A46" s="110"/>
      <c r="B46" s="106" t="s">
        <v>140</v>
      </c>
      <c r="C46" s="106" t="s">
        <v>10</v>
      </c>
      <c r="D46" s="106" t="s">
        <v>348</v>
      </c>
      <c r="E46" s="106" t="s">
        <v>12</v>
      </c>
      <c r="F46" s="106" t="s">
        <v>19</v>
      </c>
      <c r="G46" s="106" t="s">
        <v>14</v>
      </c>
      <c r="H46" s="108">
        <f>T14</f>
        <v>50400</v>
      </c>
      <c r="I46" s="106">
        <v>100033.0</v>
      </c>
      <c r="J46" s="11"/>
      <c r="K46" s="11"/>
      <c r="L46" s="11"/>
      <c r="M46" s="7"/>
      <c r="N46" s="7"/>
      <c r="O46" s="5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</row>
    <row r="47">
      <c r="A47" s="110"/>
      <c r="B47" s="106" t="s">
        <v>140</v>
      </c>
      <c r="C47" s="106" t="s">
        <v>10</v>
      </c>
      <c r="D47" s="106" t="s">
        <v>346</v>
      </c>
      <c r="E47" s="106" t="s">
        <v>12</v>
      </c>
      <c r="F47" s="106" t="s">
        <v>19</v>
      </c>
      <c r="G47" s="106" t="s">
        <v>349</v>
      </c>
      <c r="H47" s="108">
        <f>AG14</f>
        <v>2464.767123</v>
      </c>
      <c r="I47" s="106">
        <v>100036.0</v>
      </c>
      <c r="J47" s="11"/>
      <c r="K47" s="11"/>
      <c r="L47" s="11"/>
      <c r="M47" s="7"/>
      <c r="N47" s="7"/>
      <c r="O47" s="104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>
      <c r="A48" s="110"/>
      <c r="B48" s="106" t="s">
        <v>140</v>
      </c>
      <c r="C48" s="106" t="s">
        <v>10</v>
      </c>
      <c r="D48" s="106" t="s">
        <v>79</v>
      </c>
      <c r="E48" s="106" t="s">
        <v>12</v>
      </c>
      <c r="F48" s="106" t="s">
        <v>13</v>
      </c>
      <c r="G48" s="106" t="s">
        <v>90</v>
      </c>
      <c r="H48" s="108">
        <f>H49+H50</f>
        <v>235.9828767</v>
      </c>
      <c r="I48" s="106">
        <v>100062.0</v>
      </c>
      <c r="J48" s="11"/>
      <c r="K48" s="11"/>
      <c r="L48" s="11"/>
      <c r="M48" s="7"/>
      <c r="N48" s="7"/>
      <c r="O48" s="104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>
      <c r="A49" s="110"/>
      <c r="B49" s="106" t="s">
        <v>140</v>
      </c>
      <c r="C49" s="106" t="s">
        <v>10</v>
      </c>
      <c r="D49" s="106" t="s">
        <v>152</v>
      </c>
      <c r="E49" s="106" t="s">
        <v>22</v>
      </c>
      <c r="F49" s="106" t="s">
        <v>19</v>
      </c>
      <c r="G49" s="106" t="s">
        <v>23</v>
      </c>
      <c r="H49" s="108">
        <f>AE14</f>
        <v>90.99657534</v>
      </c>
      <c r="I49" s="106">
        <v>200078.0</v>
      </c>
      <c r="J49" s="11"/>
      <c r="K49" s="11"/>
      <c r="L49" s="1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>
      <c r="A50" s="110"/>
      <c r="B50" s="106" t="s">
        <v>140</v>
      </c>
      <c r="C50" s="106" t="s">
        <v>10</v>
      </c>
      <c r="D50" s="106" t="s">
        <v>350</v>
      </c>
      <c r="E50" s="106" t="s">
        <v>22</v>
      </c>
      <c r="F50" s="106" t="s">
        <v>19</v>
      </c>
      <c r="G50" s="106" t="s">
        <v>23</v>
      </c>
      <c r="H50" s="108">
        <f>AD14</f>
        <v>144.9863014</v>
      </c>
      <c r="I50" s="106">
        <v>200079.0</v>
      </c>
      <c r="J50" s="11"/>
      <c r="K50" s="11"/>
      <c r="L50" s="1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>
      <c r="A52" s="7"/>
      <c r="B52" s="53" t="s">
        <v>139</v>
      </c>
      <c r="C52" s="43" t="s">
        <v>314</v>
      </c>
      <c r="D52" s="171" t="s">
        <v>351</v>
      </c>
      <c r="E52" s="7"/>
      <c r="F52" s="7"/>
      <c r="G52" s="7"/>
      <c r="H52" s="7"/>
      <c r="I52" s="7"/>
      <c r="J52" s="11"/>
      <c r="K52" s="11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>
      <c r="A53" s="7"/>
      <c r="B53" s="7"/>
      <c r="C53" s="101" t="s">
        <v>57</v>
      </c>
      <c r="D53" s="102" t="s">
        <v>167</v>
      </c>
      <c r="E53" s="30"/>
      <c r="F53" s="7"/>
      <c r="G53" s="7"/>
      <c r="H53" s="7"/>
      <c r="I53" s="7"/>
      <c r="J53" s="11"/>
      <c r="K53" s="11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>
      <c r="A54" s="92" t="s">
        <v>0</v>
      </c>
      <c r="B54" s="92" t="s">
        <v>1</v>
      </c>
      <c r="C54" s="92" t="s">
        <v>2</v>
      </c>
      <c r="D54" s="92" t="s">
        <v>3</v>
      </c>
      <c r="E54" s="152"/>
      <c r="F54" s="92" t="s">
        <v>5</v>
      </c>
      <c r="G54" s="92" t="s">
        <v>6</v>
      </c>
      <c r="H54" s="92" t="s">
        <v>7</v>
      </c>
      <c r="I54" s="9" t="s">
        <v>8</v>
      </c>
      <c r="J54" s="11"/>
      <c r="K54" s="11"/>
      <c r="L54" s="1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>
      <c r="A55" s="110"/>
      <c r="B55" s="106" t="s">
        <v>66</v>
      </c>
      <c r="C55" s="106" t="s">
        <v>10</v>
      </c>
      <c r="D55" s="106" t="s">
        <v>345</v>
      </c>
      <c r="E55" s="106" t="s">
        <v>18</v>
      </c>
      <c r="F55" s="106" t="s">
        <v>19</v>
      </c>
      <c r="G55" s="106" t="s">
        <v>69</v>
      </c>
      <c r="H55" s="108">
        <f>S11-(W14-AG14)</f>
        <v>405.9636986</v>
      </c>
      <c r="I55" s="106">
        <v>300009.0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>
      <c r="A56" s="110"/>
      <c r="B56" s="106" t="s">
        <v>66</v>
      </c>
      <c r="C56" s="106" t="s">
        <v>10</v>
      </c>
      <c r="D56" s="106" t="s">
        <v>346</v>
      </c>
      <c r="E56" s="106" t="s">
        <v>12</v>
      </c>
      <c r="F56" s="106" t="s">
        <v>13</v>
      </c>
      <c r="G56" s="106" t="s">
        <v>69</v>
      </c>
      <c r="H56" s="108">
        <f>H55</f>
        <v>405.9636986</v>
      </c>
      <c r="I56" s="106">
        <v>100036.0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>
      <c r="A58" s="8" t="s">
        <v>352</v>
      </c>
      <c r="B58" s="7"/>
      <c r="C58" s="8" t="s">
        <v>296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</row>
    <row r="59">
      <c r="A59" s="7"/>
      <c r="B59" s="7"/>
      <c r="C59" s="7"/>
      <c r="D59" s="7"/>
      <c r="E59" s="7"/>
      <c r="F59" s="7"/>
      <c r="G59" s="7"/>
      <c r="H59" s="116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>
      <c r="A60" s="92" t="s">
        <v>0</v>
      </c>
      <c r="B60" s="92" t="s">
        <v>1</v>
      </c>
      <c r="C60" s="92" t="s">
        <v>2</v>
      </c>
      <c r="D60" s="92" t="s">
        <v>3</v>
      </c>
      <c r="E60" s="92" t="s">
        <v>4</v>
      </c>
      <c r="F60" s="92" t="s">
        <v>5</v>
      </c>
      <c r="G60" s="92" t="s">
        <v>6</v>
      </c>
      <c r="H60" s="105" t="s">
        <v>7</v>
      </c>
      <c r="I60" s="9" t="s">
        <v>8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>
      <c r="A61" s="110"/>
      <c r="B61" s="106" t="s">
        <v>353</v>
      </c>
      <c r="C61" s="106" t="s">
        <v>10</v>
      </c>
      <c r="D61" s="106" t="s">
        <v>79</v>
      </c>
      <c r="E61" s="106" t="s">
        <v>12</v>
      </c>
      <c r="F61" s="106" t="s">
        <v>13</v>
      </c>
      <c r="G61" s="106" t="s">
        <v>90</v>
      </c>
      <c r="H61" s="108">
        <f>H62+H63+H64</f>
        <v>53216.87671</v>
      </c>
      <c r="I61" s="106">
        <v>100062.0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>
      <c r="A62" s="110"/>
      <c r="B62" s="106" t="s">
        <v>353</v>
      </c>
      <c r="C62" s="106" t="s">
        <v>10</v>
      </c>
      <c r="D62" s="106" t="s">
        <v>348</v>
      </c>
      <c r="E62" s="106" t="s">
        <v>12</v>
      </c>
      <c r="F62" s="106" t="s">
        <v>19</v>
      </c>
      <c r="G62" s="106" t="s">
        <v>14</v>
      </c>
      <c r="H62" s="108">
        <f>T18</f>
        <v>50400</v>
      </c>
      <c r="I62" s="106">
        <v>100033.0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</row>
    <row r="63">
      <c r="A63" s="110"/>
      <c r="B63" s="106" t="s">
        <v>353</v>
      </c>
      <c r="C63" s="106" t="s">
        <v>10</v>
      </c>
      <c r="D63" s="106" t="s">
        <v>346</v>
      </c>
      <c r="E63" s="106" t="s">
        <v>12</v>
      </c>
      <c r="F63" s="106" t="s">
        <v>19</v>
      </c>
      <c r="G63" s="106" t="s">
        <v>349</v>
      </c>
      <c r="H63" s="108">
        <f>W18</f>
        <v>2609.753425</v>
      </c>
      <c r="I63" s="106">
        <v>100036.0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>
      <c r="A64" s="110"/>
      <c r="B64" s="106" t="s">
        <v>353</v>
      </c>
      <c r="C64" s="106" t="s">
        <v>10</v>
      </c>
      <c r="D64" s="106" t="s">
        <v>345</v>
      </c>
      <c r="E64" s="106" t="s">
        <v>18</v>
      </c>
      <c r="F64" s="106" t="s">
        <v>19</v>
      </c>
      <c r="G64" s="110"/>
      <c r="H64" s="108">
        <f>AD18</f>
        <v>207.1232877</v>
      </c>
      <c r="I64" s="106">
        <v>300009.0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</row>
    <row r="65">
      <c r="A65" s="110"/>
      <c r="B65" s="106" t="s">
        <v>353</v>
      </c>
      <c r="C65" s="106" t="s">
        <v>10</v>
      </c>
      <c r="D65" s="106" t="s">
        <v>354</v>
      </c>
      <c r="E65" s="106" t="s">
        <v>12</v>
      </c>
      <c r="F65" s="106" t="s">
        <v>13</v>
      </c>
      <c r="G65" s="110"/>
      <c r="H65" s="108">
        <f>AD18</f>
        <v>207.1232877</v>
      </c>
      <c r="I65" s="106">
        <v>100030.0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>
      <c r="A66" s="110"/>
      <c r="B66" s="106" t="s">
        <v>353</v>
      </c>
      <c r="C66" s="106" t="s">
        <v>10</v>
      </c>
      <c r="D66" s="106" t="s">
        <v>354</v>
      </c>
      <c r="E66" s="106" t="s">
        <v>12</v>
      </c>
      <c r="F66" s="106" t="s">
        <v>19</v>
      </c>
      <c r="G66" s="110"/>
      <c r="H66" s="108">
        <f>H65</f>
        <v>207.1232877</v>
      </c>
      <c r="I66" s="106">
        <v>100030.0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>
      <c r="A68" s="7"/>
      <c r="B68" s="53" t="s">
        <v>139</v>
      </c>
      <c r="C68" s="43" t="s">
        <v>314</v>
      </c>
      <c r="D68" s="171" t="s">
        <v>355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>
      <c r="A69" s="7"/>
      <c r="B69" s="7"/>
      <c r="C69" s="101" t="s">
        <v>57</v>
      </c>
      <c r="D69" s="102" t="s">
        <v>167</v>
      </c>
      <c r="E69" s="30"/>
      <c r="F69" s="7"/>
      <c r="G69" s="7"/>
      <c r="H69" s="116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>
      <c r="A70" s="92" t="s">
        <v>0</v>
      </c>
      <c r="B70" s="92" t="s">
        <v>1</v>
      </c>
      <c r="C70" s="92" t="s">
        <v>2</v>
      </c>
      <c r="D70" s="92" t="s">
        <v>3</v>
      </c>
      <c r="E70" s="152"/>
      <c r="F70" s="92" t="s">
        <v>5</v>
      </c>
      <c r="G70" s="92" t="s">
        <v>6</v>
      </c>
      <c r="H70" s="105" t="s">
        <v>7</v>
      </c>
      <c r="I70" s="9" t="s">
        <v>8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>
      <c r="A71" s="110"/>
      <c r="B71" s="106" t="s">
        <v>66</v>
      </c>
      <c r="C71" s="106" t="s">
        <v>10</v>
      </c>
      <c r="D71" s="106" t="s">
        <v>345</v>
      </c>
      <c r="E71" s="106" t="s">
        <v>18</v>
      </c>
      <c r="F71" s="106" t="s">
        <v>19</v>
      </c>
      <c r="G71" s="106" t="s">
        <v>69</v>
      </c>
      <c r="H71" s="106">
        <f>S11</f>
        <v>550.95</v>
      </c>
      <c r="I71" s="106">
        <v>300009.0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>
      <c r="A72" s="110"/>
      <c r="B72" s="106" t="s">
        <v>66</v>
      </c>
      <c r="C72" s="106" t="s">
        <v>10</v>
      </c>
      <c r="D72" s="106" t="s">
        <v>346</v>
      </c>
      <c r="E72" s="106" t="s">
        <v>12</v>
      </c>
      <c r="F72" s="106" t="s">
        <v>13</v>
      </c>
      <c r="G72" s="106" t="s">
        <v>69</v>
      </c>
      <c r="H72" s="106">
        <f>H71</f>
        <v>550.95</v>
      </c>
      <c r="I72" s="106">
        <v>100036.0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>
      <c r="A74" s="53" t="s">
        <v>139</v>
      </c>
      <c r="B74" s="8" t="s">
        <v>305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>
      <c r="A75" s="7"/>
      <c r="B75" s="43" t="s">
        <v>297</v>
      </c>
      <c r="C75" s="101" t="s">
        <v>57</v>
      </c>
      <c r="D75" s="102" t="s">
        <v>86</v>
      </c>
      <c r="F75" s="7"/>
      <c r="G75" s="7"/>
      <c r="H75" s="116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>
      <c r="A76" s="92" t="s">
        <v>0</v>
      </c>
      <c r="B76" s="92" t="s">
        <v>1</v>
      </c>
      <c r="C76" s="92" t="s">
        <v>2</v>
      </c>
      <c r="D76" s="92" t="s">
        <v>3</v>
      </c>
      <c r="E76" s="92" t="s">
        <v>4</v>
      </c>
      <c r="F76" s="92" t="s">
        <v>5</v>
      </c>
      <c r="G76" s="92" t="s">
        <v>6</v>
      </c>
      <c r="H76" s="105" t="s">
        <v>7</v>
      </c>
      <c r="I76" s="9" t="s">
        <v>8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>
      <c r="A77" s="110"/>
      <c r="B77" s="106" t="s">
        <v>52</v>
      </c>
      <c r="C77" s="106" t="s">
        <v>10</v>
      </c>
      <c r="D77" s="106" t="s">
        <v>155</v>
      </c>
      <c r="E77" s="106" t="s">
        <v>156</v>
      </c>
      <c r="F77" s="106" t="s">
        <v>13</v>
      </c>
      <c r="G77" s="106" t="s">
        <v>156</v>
      </c>
      <c r="H77" s="108">
        <f>H78</f>
        <v>50400</v>
      </c>
      <c r="I77" s="106">
        <v>400041.0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>
      <c r="A78" s="110"/>
      <c r="B78" s="106" t="s">
        <v>52</v>
      </c>
      <c r="C78" s="106" t="s">
        <v>10</v>
      </c>
      <c r="D78" s="106" t="s">
        <v>348</v>
      </c>
      <c r="E78" s="106" t="s">
        <v>12</v>
      </c>
      <c r="F78" s="106" t="s">
        <v>19</v>
      </c>
      <c r="G78" s="110"/>
      <c r="H78" s="108">
        <f>T5</f>
        <v>50400</v>
      </c>
      <c r="I78" s="106">
        <v>100033.0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>
      <c r="A79" s="7"/>
      <c r="B79" s="7"/>
      <c r="C79" s="7"/>
      <c r="D79" s="7"/>
      <c r="E79" s="7"/>
      <c r="F79" s="7"/>
      <c r="G79" s="7"/>
      <c r="H79" s="116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>
      <c r="A80" s="7"/>
      <c r="B80" s="43" t="s">
        <v>63</v>
      </c>
      <c r="C80" s="101" t="s">
        <v>57</v>
      </c>
      <c r="D80" s="102" t="s">
        <v>167</v>
      </c>
      <c r="E80" s="30"/>
      <c r="F80" s="7"/>
      <c r="G80" s="7"/>
      <c r="H80" s="116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>
      <c r="A81" s="92" t="s">
        <v>0</v>
      </c>
      <c r="B81" s="92" t="s">
        <v>1</v>
      </c>
      <c r="C81" s="92" t="s">
        <v>2</v>
      </c>
      <c r="D81" s="92" t="s">
        <v>3</v>
      </c>
      <c r="E81" s="152"/>
      <c r="F81" s="92" t="s">
        <v>5</v>
      </c>
      <c r="G81" s="92" t="s">
        <v>6</v>
      </c>
      <c r="H81" s="92" t="s">
        <v>7</v>
      </c>
      <c r="I81" s="9" t="s">
        <v>8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>
      <c r="A82" s="110"/>
      <c r="B82" s="106" t="s">
        <v>66</v>
      </c>
      <c r="C82" s="106" t="s">
        <v>10</v>
      </c>
      <c r="D82" s="106" t="s">
        <v>345</v>
      </c>
      <c r="E82" s="106" t="s">
        <v>18</v>
      </c>
      <c r="F82" s="106" t="s">
        <v>13</v>
      </c>
      <c r="G82" s="106" t="s">
        <v>69</v>
      </c>
      <c r="H82" s="106">
        <f>S8+S9+S10+S11</f>
        <v>2609.76</v>
      </c>
      <c r="I82" s="106">
        <v>300009.0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>
      <c r="A83" s="110"/>
      <c r="B83" s="106" t="s">
        <v>66</v>
      </c>
      <c r="C83" s="106" t="s">
        <v>10</v>
      </c>
      <c r="D83" s="106" t="s">
        <v>346</v>
      </c>
      <c r="E83" s="106" t="s">
        <v>12</v>
      </c>
      <c r="F83" s="106" t="s">
        <v>19</v>
      </c>
      <c r="G83" s="106" t="s">
        <v>69</v>
      </c>
      <c r="H83" s="106">
        <f>H82</f>
        <v>2609.76</v>
      </c>
      <c r="I83" s="106">
        <v>100036.0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>
      <c r="A85" s="53" t="s">
        <v>139</v>
      </c>
      <c r="B85" s="8" t="s">
        <v>267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>
      <c r="A86" s="7"/>
      <c r="B86" s="43" t="s">
        <v>297</v>
      </c>
      <c r="C86" s="101" t="s">
        <v>57</v>
      </c>
      <c r="D86" s="102" t="s">
        <v>86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>
      <c r="A87" s="92" t="s">
        <v>0</v>
      </c>
      <c r="B87" s="92" t="s">
        <v>1</v>
      </c>
      <c r="C87" s="92" t="s">
        <v>2</v>
      </c>
      <c r="D87" s="92" t="s">
        <v>3</v>
      </c>
      <c r="E87" s="92" t="s">
        <v>4</v>
      </c>
      <c r="F87" s="92" t="s">
        <v>5</v>
      </c>
      <c r="G87" s="92" t="s">
        <v>6</v>
      </c>
      <c r="H87" s="92" t="s">
        <v>7</v>
      </c>
      <c r="I87" s="9" t="s">
        <v>8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>
      <c r="A88" s="110"/>
      <c r="B88" s="106" t="s">
        <v>52</v>
      </c>
      <c r="C88" s="106" t="s">
        <v>10</v>
      </c>
      <c r="D88" s="106" t="s">
        <v>155</v>
      </c>
      <c r="E88" s="106" t="s">
        <v>156</v>
      </c>
      <c r="F88" s="106" t="s">
        <v>13</v>
      </c>
      <c r="G88" s="106" t="s">
        <v>156</v>
      </c>
      <c r="H88" s="108">
        <f>T5/2</f>
        <v>25200</v>
      </c>
      <c r="I88" s="106">
        <v>400041.0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>
      <c r="A89" s="110"/>
      <c r="B89" s="106" t="s">
        <v>52</v>
      </c>
      <c r="C89" s="106" t="s">
        <v>10</v>
      </c>
      <c r="D89" s="106" t="s">
        <v>348</v>
      </c>
      <c r="E89" s="106" t="s">
        <v>12</v>
      </c>
      <c r="F89" s="106" t="s">
        <v>19</v>
      </c>
      <c r="G89" s="110"/>
      <c r="H89" s="108">
        <f>H88</f>
        <v>25200</v>
      </c>
      <c r="I89" s="106">
        <v>100033.0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>
      <c r="A91" s="7"/>
      <c r="B91" s="43" t="s">
        <v>63</v>
      </c>
      <c r="C91" s="101" t="s">
        <v>57</v>
      </c>
      <c r="D91" s="102" t="s">
        <v>167</v>
      </c>
      <c r="E91" s="30"/>
      <c r="F91" s="7"/>
      <c r="G91" s="7"/>
      <c r="H91" s="116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</row>
    <row r="92">
      <c r="A92" s="92" t="s">
        <v>0</v>
      </c>
      <c r="B92" s="92" t="s">
        <v>1</v>
      </c>
      <c r="C92" s="92" t="s">
        <v>2</v>
      </c>
      <c r="D92" s="92" t="s">
        <v>3</v>
      </c>
      <c r="E92" s="152"/>
      <c r="F92" s="92" t="s">
        <v>5</v>
      </c>
      <c r="G92" s="92" t="s">
        <v>6</v>
      </c>
      <c r="H92" s="105" t="s">
        <v>7</v>
      </c>
      <c r="I92" s="9" t="s">
        <v>8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>
      <c r="A93" s="110"/>
      <c r="B93" s="106" t="s">
        <v>66</v>
      </c>
      <c r="C93" s="106" t="s">
        <v>10</v>
      </c>
      <c r="D93" s="106" t="s">
        <v>345</v>
      </c>
      <c r="E93" s="106" t="s">
        <v>18</v>
      </c>
      <c r="F93" s="106" t="s">
        <v>356</v>
      </c>
      <c r="G93" s="106" t="s">
        <v>69</v>
      </c>
      <c r="H93" s="106">
        <f>S11</f>
        <v>550.95</v>
      </c>
      <c r="I93" s="106">
        <v>300009.0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</row>
    <row r="94">
      <c r="A94" s="110"/>
      <c r="B94" s="106" t="s">
        <v>66</v>
      </c>
      <c r="C94" s="106" t="s">
        <v>10</v>
      </c>
      <c r="D94" s="106" t="s">
        <v>346</v>
      </c>
      <c r="E94" s="106" t="s">
        <v>12</v>
      </c>
      <c r="F94" s="106" t="s">
        <v>13</v>
      </c>
      <c r="G94" s="106" t="s">
        <v>69</v>
      </c>
      <c r="H94" s="106">
        <f>H93</f>
        <v>550.95</v>
      </c>
      <c r="I94" s="106">
        <v>100036.0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>
      <c r="A101" s="172"/>
      <c r="B101" s="172"/>
      <c r="C101" s="172"/>
      <c r="D101" s="172"/>
      <c r="E101" s="172"/>
      <c r="F101" s="172"/>
      <c r="G101" s="172"/>
      <c r="H101" s="172"/>
      <c r="I101" s="173"/>
    </row>
    <row r="102">
      <c r="A102" s="89"/>
      <c r="B102" s="174"/>
      <c r="C102" s="174"/>
      <c r="D102" s="174"/>
      <c r="E102" s="174"/>
      <c r="F102" s="174"/>
      <c r="G102" s="174"/>
      <c r="H102" s="175"/>
      <c r="I102" s="174"/>
    </row>
    <row r="103">
      <c r="A103" s="89"/>
      <c r="B103" s="174"/>
      <c r="C103" s="174"/>
      <c r="D103" s="174"/>
      <c r="E103" s="174"/>
      <c r="F103" s="174"/>
      <c r="G103" s="89"/>
      <c r="H103" s="175"/>
      <c r="I103" s="174"/>
    </row>
    <row r="104">
      <c r="A104" s="89"/>
      <c r="B104" s="89"/>
      <c r="C104" s="89"/>
      <c r="D104" s="89"/>
      <c r="E104" s="89"/>
      <c r="F104" s="89"/>
      <c r="G104" s="89"/>
      <c r="H104" s="89"/>
      <c r="I104" s="89"/>
    </row>
    <row r="105">
      <c r="A105" s="89"/>
      <c r="B105" s="176"/>
      <c r="C105" s="177"/>
      <c r="D105" s="178"/>
      <c r="E105" s="89"/>
      <c r="F105" s="89"/>
      <c r="G105" s="89"/>
      <c r="H105" s="89"/>
      <c r="I105" s="89"/>
    </row>
    <row r="106">
      <c r="A106" s="172"/>
      <c r="B106" s="172"/>
      <c r="C106" s="172"/>
      <c r="D106" s="172"/>
      <c r="E106" s="89"/>
      <c r="F106" s="172"/>
      <c r="G106" s="172"/>
      <c r="H106" s="172"/>
      <c r="I106" s="173"/>
    </row>
    <row r="107">
      <c r="A107" s="89"/>
      <c r="B107" s="174"/>
      <c r="C107" s="174"/>
      <c r="D107" s="174"/>
      <c r="E107" s="174"/>
      <c r="F107" s="174"/>
      <c r="G107" s="174"/>
      <c r="H107" s="174"/>
      <c r="I107" s="174"/>
    </row>
    <row r="108">
      <c r="A108" s="89"/>
      <c r="B108" s="174"/>
      <c r="C108" s="174"/>
      <c r="D108" s="174"/>
      <c r="E108" s="174"/>
      <c r="F108" s="174"/>
      <c r="G108" s="174"/>
      <c r="H108" s="174"/>
      <c r="I108" s="174"/>
    </row>
    <row r="109">
      <c r="A109" s="89"/>
      <c r="B109" s="89"/>
      <c r="C109" s="89"/>
      <c r="D109" s="89"/>
      <c r="E109" s="89"/>
      <c r="F109" s="89"/>
      <c r="G109" s="89"/>
      <c r="H109" s="89"/>
      <c r="I109" s="89"/>
    </row>
    <row r="110">
      <c r="A110" s="179"/>
      <c r="B110" s="179"/>
      <c r="C110" s="179"/>
      <c r="D110" s="179"/>
      <c r="E110" s="179"/>
      <c r="F110" s="179"/>
      <c r="G110" s="179"/>
      <c r="H110" s="179"/>
      <c r="I110" s="179"/>
    </row>
    <row r="111">
      <c r="A111" s="179"/>
      <c r="B111" s="179"/>
      <c r="C111" s="179"/>
      <c r="D111" s="179"/>
      <c r="E111" s="179"/>
      <c r="F111" s="179"/>
      <c r="G111" s="179"/>
      <c r="H111" s="179"/>
      <c r="I111" s="179"/>
    </row>
    <row r="112">
      <c r="A112" s="179"/>
      <c r="B112" s="179"/>
      <c r="C112" s="179"/>
      <c r="D112" s="179"/>
      <c r="E112" s="179"/>
      <c r="F112" s="179"/>
      <c r="G112" s="179"/>
      <c r="H112" s="179"/>
      <c r="I112" s="179"/>
    </row>
    <row r="113">
      <c r="A113" s="179"/>
      <c r="B113" s="179"/>
      <c r="C113" s="179"/>
      <c r="D113" s="179"/>
      <c r="E113" s="179"/>
      <c r="F113" s="179"/>
      <c r="G113" s="179"/>
      <c r="H113" s="179"/>
      <c r="I113" s="179"/>
    </row>
    <row r="114">
      <c r="A114" s="179"/>
      <c r="B114" s="179"/>
      <c r="C114" s="179"/>
      <c r="D114" s="179"/>
      <c r="E114" s="179"/>
      <c r="F114" s="179"/>
      <c r="G114" s="179"/>
      <c r="H114" s="179"/>
      <c r="I114" s="179"/>
    </row>
    <row r="115">
      <c r="A115" s="179"/>
      <c r="B115" s="179"/>
      <c r="C115" s="179"/>
      <c r="D115" s="179"/>
      <c r="E115" s="179"/>
      <c r="F115" s="179"/>
      <c r="G115" s="179"/>
      <c r="H115" s="179"/>
      <c r="I115" s="179"/>
    </row>
    <row r="116">
      <c r="A116" s="179"/>
      <c r="B116" s="179"/>
      <c r="C116" s="179"/>
      <c r="D116" s="179"/>
      <c r="E116" s="179"/>
      <c r="F116" s="179"/>
      <c r="G116" s="179"/>
      <c r="H116" s="179"/>
      <c r="I116" s="179"/>
    </row>
    <row r="117">
      <c r="A117" s="179"/>
      <c r="B117" s="179"/>
      <c r="C117" s="179"/>
      <c r="D117" s="179"/>
      <c r="E117" s="179"/>
      <c r="F117" s="179"/>
      <c r="G117" s="179"/>
      <c r="H117" s="179"/>
      <c r="I117" s="179"/>
    </row>
    <row r="118">
      <c r="A118" s="179"/>
      <c r="B118" s="179"/>
      <c r="C118" s="179"/>
      <c r="D118" s="179"/>
      <c r="E118" s="179"/>
      <c r="F118" s="179"/>
      <c r="G118" s="179"/>
      <c r="H118" s="179"/>
      <c r="I118" s="179"/>
    </row>
    <row r="119">
      <c r="A119" s="179"/>
      <c r="B119" s="179"/>
      <c r="C119" s="179"/>
      <c r="D119" s="179"/>
      <c r="E119" s="179"/>
      <c r="F119" s="179"/>
      <c r="G119" s="179"/>
      <c r="H119" s="179"/>
      <c r="I119" s="179"/>
    </row>
  </sheetData>
  <mergeCells count="4">
    <mergeCell ref="A2:C2"/>
    <mergeCell ref="F10:G10"/>
    <mergeCell ref="D75:E75"/>
    <mergeCell ref="D86:E8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3.0"/>
    <col customWidth="1" min="7" max="7" width="16.25"/>
  </cols>
  <sheetData>
    <row r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>
      <c r="A2" s="91" t="s">
        <v>333</v>
      </c>
      <c r="D2" s="7"/>
      <c r="E2" s="7"/>
      <c r="F2" s="7"/>
      <c r="G2" s="7"/>
      <c r="H2" s="7"/>
      <c r="I2" s="7"/>
      <c r="J2" s="7"/>
      <c r="K2" s="11" t="s">
        <v>357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7"/>
      <c r="B3" s="8" t="s">
        <v>334</v>
      </c>
      <c r="C3" s="7"/>
      <c r="D3" s="7"/>
      <c r="E3" s="7"/>
      <c r="F3" s="7"/>
      <c r="G3" s="7"/>
      <c r="H3" s="7"/>
      <c r="I3" s="7"/>
      <c r="J3" s="7"/>
      <c r="K3" s="11" t="s">
        <v>358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>
      <c r="A4" s="92" t="s">
        <v>0</v>
      </c>
      <c r="B4" s="92" t="s">
        <v>1</v>
      </c>
      <c r="C4" s="92" t="s">
        <v>2</v>
      </c>
      <c r="D4" s="92" t="s">
        <v>3</v>
      </c>
      <c r="E4" s="92" t="s">
        <v>4</v>
      </c>
      <c r="F4" s="92" t="s">
        <v>5</v>
      </c>
      <c r="G4" s="92" t="s">
        <v>6</v>
      </c>
      <c r="H4" s="92" t="s">
        <v>7</v>
      </c>
      <c r="I4" s="9" t="s">
        <v>8</v>
      </c>
      <c r="J4" s="7"/>
      <c r="K4" s="11" t="s">
        <v>359</v>
      </c>
      <c r="L4" s="7"/>
      <c r="M4" s="7"/>
      <c r="N4" s="126" t="s">
        <v>41</v>
      </c>
      <c r="O4" s="126" t="s">
        <v>270</v>
      </c>
      <c r="P4" s="126" t="s">
        <v>271</v>
      </c>
      <c r="Q4" s="126" t="s">
        <v>335</v>
      </c>
      <c r="R4" s="126" t="s">
        <v>272</v>
      </c>
      <c r="S4" s="126" t="s">
        <v>273</v>
      </c>
      <c r="T4" s="126" t="s">
        <v>274</v>
      </c>
      <c r="U4" s="126" t="s">
        <v>275</v>
      </c>
      <c r="V4" s="126" t="s">
        <v>276</v>
      </c>
      <c r="W4" s="126" t="s">
        <v>125</v>
      </c>
      <c r="X4" s="126" t="s">
        <v>277</v>
      </c>
      <c r="Y4" s="126" t="s">
        <v>278</v>
      </c>
      <c r="Z4" s="7"/>
      <c r="AA4" s="7"/>
      <c r="AB4" s="7"/>
      <c r="AC4" s="7"/>
      <c r="AD4" s="7"/>
      <c r="AE4" s="7"/>
      <c r="AF4" s="7"/>
      <c r="AG4" s="7"/>
    </row>
    <row r="5">
      <c r="A5" s="110"/>
      <c r="B5" s="106" t="s">
        <v>9</v>
      </c>
      <c r="C5" s="106" t="s">
        <v>10</v>
      </c>
      <c r="D5" s="106" t="s">
        <v>336</v>
      </c>
      <c r="E5" s="106" t="s">
        <v>45</v>
      </c>
      <c r="F5" s="106" t="s">
        <v>13</v>
      </c>
      <c r="G5" s="106" t="s">
        <v>14</v>
      </c>
      <c r="H5" s="108">
        <f>X5</f>
        <v>50400</v>
      </c>
      <c r="I5" s="106">
        <v>100033.0</v>
      </c>
      <c r="J5" s="7"/>
      <c r="K5" s="11" t="s">
        <v>360</v>
      </c>
      <c r="L5" s="7"/>
      <c r="M5" s="7"/>
      <c r="N5" s="129">
        <v>45707.0</v>
      </c>
      <c r="O5" s="129">
        <f>N5+U5</f>
        <v>45797</v>
      </c>
      <c r="P5" s="132">
        <v>2.9163021824E10</v>
      </c>
      <c r="Q5" s="166"/>
      <c r="R5" s="167">
        <v>45603.0</v>
      </c>
      <c r="S5" s="132" t="s">
        <v>337</v>
      </c>
      <c r="T5" s="135">
        <v>50400.0</v>
      </c>
      <c r="U5" s="132">
        <v>90.0</v>
      </c>
      <c r="V5" s="134">
        <f>1.75%*12</f>
        <v>0.21</v>
      </c>
      <c r="W5" s="135">
        <f>T5*(V5/365*U5)</f>
        <v>2609.753425</v>
      </c>
      <c r="X5" s="135">
        <f>T5</f>
        <v>50400</v>
      </c>
      <c r="Y5" s="135">
        <f>X5+W5</f>
        <v>53009.75342</v>
      </c>
      <c r="Z5" s="7"/>
      <c r="AA5" s="7"/>
      <c r="AB5" s="7"/>
      <c r="AC5" s="7"/>
      <c r="AD5" s="7"/>
      <c r="AE5" s="7"/>
      <c r="AF5" s="7"/>
      <c r="AG5" s="7"/>
    </row>
    <row r="6">
      <c r="A6" s="110"/>
      <c r="B6" s="106" t="s">
        <v>9</v>
      </c>
      <c r="C6" s="106" t="s">
        <v>10</v>
      </c>
      <c r="D6" s="106" t="s">
        <v>338</v>
      </c>
      <c r="E6" s="106" t="s">
        <v>22</v>
      </c>
      <c r="F6" s="106" t="s">
        <v>19</v>
      </c>
      <c r="G6" s="106" t="s">
        <v>23</v>
      </c>
      <c r="H6" s="108">
        <f>X5</f>
        <v>50400</v>
      </c>
      <c r="I6" s="106">
        <v>200042.0</v>
      </c>
      <c r="J6" s="7"/>
      <c r="K6" s="11" t="s">
        <v>361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53" t="s">
        <v>112</v>
      </c>
      <c r="O7" s="53" t="s">
        <v>113</v>
      </c>
      <c r="P7" s="53" t="s">
        <v>114</v>
      </c>
      <c r="Q7" s="53" t="s">
        <v>115</v>
      </c>
      <c r="R7" s="53" t="s">
        <v>116</v>
      </c>
      <c r="S7" s="53" t="s">
        <v>117</v>
      </c>
      <c r="T7" s="7" t="s">
        <v>339</v>
      </c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54">
        <v>1.0</v>
      </c>
      <c r="O8" s="53" t="s">
        <v>67</v>
      </c>
      <c r="P8" s="54">
        <v>50400.0</v>
      </c>
      <c r="Q8" s="54">
        <v>50400.0</v>
      </c>
      <c r="R8" s="54">
        <v>289.97</v>
      </c>
      <c r="S8" s="54">
        <v>289.97</v>
      </c>
      <c r="T8" s="56">
        <f>P8*V5/365*10</f>
        <v>289.9726027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>
      <c r="A9" s="7"/>
      <c r="B9" s="7"/>
      <c r="C9" s="28" t="s">
        <v>39</v>
      </c>
      <c r="D9" s="151" t="s">
        <v>56</v>
      </c>
      <c r="E9" s="7"/>
      <c r="F9" s="7"/>
      <c r="G9" s="7"/>
      <c r="H9" s="7"/>
      <c r="I9" s="7"/>
      <c r="J9" s="7"/>
      <c r="K9" s="7"/>
      <c r="L9" s="7"/>
      <c r="M9" s="7"/>
      <c r="N9" s="54">
        <v>2.0</v>
      </c>
      <c r="O9" s="53" t="s">
        <v>103</v>
      </c>
      <c r="P9" s="54">
        <v>50400.0</v>
      </c>
      <c r="Q9" s="54">
        <v>50400.0</v>
      </c>
      <c r="R9" s="54">
        <v>898.92</v>
      </c>
      <c r="S9" s="54">
        <v>898.92</v>
      </c>
      <c r="T9" s="56">
        <f>P9*V5/365*31</f>
        <v>898.9150685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>
      <c r="A10" s="7"/>
      <c r="B10" s="7"/>
      <c r="C10" s="101" t="s">
        <v>57</v>
      </c>
      <c r="D10" s="102" t="s">
        <v>58</v>
      </c>
      <c r="E10" s="30"/>
      <c r="F10" s="34" t="s">
        <v>59</v>
      </c>
      <c r="H10" s="7"/>
      <c r="I10" s="7"/>
      <c r="J10" s="7"/>
      <c r="K10" s="7"/>
      <c r="L10" s="7"/>
      <c r="M10" s="7"/>
      <c r="N10" s="54">
        <v>3.0</v>
      </c>
      <c r="O10" s="53" t="s">
        <v>118</v>
      </c>
      <c r="P10" s="54">
        <v>50400.0</v>
      </c>
      <c r="Q10" s="54">
        <v>50400.0</v>
      </c>
      <c r="R10" s="54">
        <v>869.92</v>
      </c>
      <c r="S10" s="54">
        <v>869.92</v>
      </c>
      <c r="T10" s="56">
        <f>P10*V5/365*30</f>
        <v>869.9178082</v>
      </c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54">
        <v>4.0</v>
      </c>
      <c r="O11" s="53" t="s">
        <v>139</v>
      </c>
      <c r="P11" s="54">
        <v>50400.0</v>
      </c>
      <c r="Q11" s="54">
        <v>0.0</v>
      </c>
      <c r="R11" s="54">
        <v>550.95</v>
      </c>
      <c r="S11" s="54">
        <v>550.95</v>
      </c>
      <c r="T11" s="56">
        <f>P11*V5/365*19</f>
        <v>550.9479452</v>
      </c>
      <c r="U11" s="56">
        <f>550.95-144</f>
        <v>406.95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>
      <c r="A12" s="92" t="s">
        <v>0</v>
      </c>
      <c r="B12" s="92" t="s">
        <v>1</v>
      </c>
      <c r="C12" s="92" t="s">
        <v>2</v>
      </c>
      <c r="D12" s="92" t="s">
        <v>3</v>
      </c>
      <c r="E12" s="92" t="s">
        <v>4</v>
      </c>
      <c r="F12" s="92" t="s">
        <v>5</v>
      </c>
      <c r="G12" s="92" t="s">
        <v>6</v>
      </c>
      <c r="H12" s="92" t="s">
        <v>7</v>
      </c>
      <c r="I12" s="9" t="s">
        <v>8</v>
      </c>
      <c r="J12" s="7"/>
      <c r="K12" s="7"/>
      <c r="L12" s="7"/>
      <c r="M12" s="7"/>
      <c r="N12" s="8" t="s">
        <v>290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>
      <c r="A13" s="110"/>
      <c r="B13" s="106" t="s">
        <v>9</v>
      </c>
      <c r="C13" s="106" t="s">
        <v>10</v>
      </c>
      <c r="D13" s="106" t="s">
        <v>340</v>
      </c>
      <c r="E13" s="106" t="s">
        <v>22</v>
      </c>
      <c r="F13" s="106" t="s">
        <v>13</v>
      </c>
      <c r="G13" s="106" t="s">
        <v>23</v>
      </c>
      <c r="H13" s="108">
        <f>X5</f>
        <v>50400</v>
      </c>
      <c r="I13" s="106">
        <v>200042.0</v>
      </c>
      <c r="J13" s="7"/>
      <c r="K13" s="7"/>
      <c r="L13" s="7"/>
      <c r="M13" s="7"/>
      <c r="N13" s="126" t="s">
        <v>41</v>
      </c>
      <c r="O13" s="126" t="s">
        <v>270</v>
      </c>
      <c r="P13" s="126" t="s">
        <v>271</v>
      </c>
      <c r="Q13" s="126" t="s">
        <v>335</v>
      </c>
      <c r="R13" s="126" t="s">
        <v>272</v>
      </c>
      <c r="S13" s="126" t="s">
        <v>273</v>
      </c>
      <c r="T13" s="126" t="s">
        <v>274</v>
      </c>
      <c r="U13" s="126" t="s">
        <v>275</v>
      </c>
      <c r="V13" s="126" t="s">
        <v>276</v>
      </c>
      <c r="W13" s="126" t="s">
        <v>125</v>
      </c>
      <c r="X13" s="126" t="s">
        <v>277</v>
      </c>
      <c r="Y13" s="126" t="s">
        <v>278</v>
      </c>
      <c r="Z13" s="126" t="s">
        <v>281</v>
      </c>
      <c r="AA13" s="126" t="s">
        <v>282</v>
      </c>
      <c r="AB13" s="126" t="s">
        <v>283</v>
      </c>
      <c r="AC13" s="126" t="s">
        <v>284</v>
      </c>
      <c r="AD13" s="126" t="s">
        <v>341</v>
      </c>
      <c r="AE13" s="126" t="s">
        <v>286</v>
      </c>
      <c r="AF13" s="126" t="s">
        <v>342</v>
      </c>
      <c r="AG13" s="53" t="s">
        <v>287</v>
      </c>
    </row>
    <row r="14">
      <c r="A14" s="110"/>
      <c r="B14" s="106" t="s">
        <v>9</v>
      </c>
      <c r="C14" s="106" t="s">
        <v>10</v>
      </c>
      <c r="D14" s="106" t="s">
        <v>60</v>
      </c>
      <c r="E14" s="106" t="s">
        <v>61</v>
      </c>
      <c r="F14" s="106" t="s">
        <v>19</v>
      </c>
      <c r="G14" s="106" t="s">
        <v>62</v>
      </c>
      <c r="H14" s="108">
        <f>H13</f>
        <v>50400</v>
      </c>
      <c r="I14" s="106">
        <v>100003.0</v>
      </c>
      <c r="J14" s="7"/>
      <c r="K14" s="7"/>
      <c r="L14" s="7"/>
      <c r="M14" s="7"/>
      <c r="N14" s="129">
        <v>45707.0</v>
      </c>
      <c r="O14" s="129">
        <f>N14+U14</f>
        <v>45797</v>
      </c>
      <c r="P14" s="132">
        <v>2.9163021824E10</v>
      </c>
      <c r="Q14" s="166"/>
      <c r="R14" s="167">
        <v>45603.0</v>
      </c>
      <c r="S14" s="132" t="s">
        <v>337</v>
      </c>
      <c r="T14" s="135">
        <v>50400.0</v>
      </c>
      <c r="U14" s="132">
        <v>90.0</v>
      </c>
      <c r="V14" s="134">
        <f>1.75%*12</f>
        <v>0.21</v>
      </c>
      <c r="W14" s="135">
        <f>T14*(V14/365*U14)</f>
        <v>2609.753425</v>
      </c>
      <c r="X14" s="135">
        <f>T14</f>
        <v>50400</v>
      </c>
      <c r="Y14" s="135">
        <f>X14+W14</f>
        <v>53009.75342</v>
      </c>
      <c r="Z14" s="53" t="s">
        <v>343</v>
      </c>
      <c r="AA14" s="168">
        <v>53100.75</v>
      </c>
      <c r="AB14" s="169">
        <v>45792.0</v>
      </c>
      <c r="AC14" s="135">
        <f>AB14-N14</f>
        <v>85</v>
      </c>
      <c r="AD14" s="135">
        <f>W14-AG14</f>
        <v>144.9863014</v>
      </c>
      <c r="AE14" s="135">
        <f>AA14-Y14</f>
        <v>90.99657534</v>
      </c>
      <c r="AF14" s="135">
        <f>AD14+AE14</f>
        <v>235.9828767</v>
      </c>
      <c r="AG14" s="135">
        <f>T14*V14/365*AC14</f>
        <v>2464.767123</v>
      </c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8" t="s">
        <v>143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26" t="s">
        <v>41</v>
      </c>
      <c r="O17" s="126" t="s">
        <v>270</v>
      </c>
      <c r="P17" s="126" t="s">
        <v>271</v>
      </c>
      <c r="Q17" s="126" t="s">
        <v>335</v>
      </c>
      <c r="R17" s="126" t="s">
        <v>272</v>
      </c>
      <c r="S17" s="126" t="s">
        <v>273</v>
      </c>
      <c r="T17" s="126" t="s">
        <v>274</v>
      </c>
      <c r="U17" s="126" t="s">
        <v>275</v>
      </c>
      <c r="V17" s="126" t="s">
        <v>276</v>
      </c>
      <c r="W17" s="126" t="s">
        <v>125</v>
      </c>
      <c r="X17" s="126" t="s">
        <v>277</v>
      </c>
      <c r="Y17" s="126" t="s">
        <v>278</v>
      </c>
      <c r="Z17" s="126" t="s">
        <v>281</v>
      </c>
      <c r="AA17" s="126" t="s">
        <v>282</v>
      </c>
      <c r="AB17" s="126" t="s">
        <v>283</v>
      </c>
      <c r="AC17" s="126" t="s">
        <v>284</v>
      </c>
      <c r="AD17" s="126" t="s">
        <v>150</v>
      </c>
      <c r="AE17" s="126" t="s">
        <v>286</v>
      </c>
      <c r="AF17" s="126" t="s">
        <v>342</v>
      </c>
      <c r="AG17" s="53" t="s">
        <v>287</v>
      </c>
    </row>
    <row r="18">
      <c r="A18" s="7"/>
      <c r="B18" s="7"/>
      <c r="C18" s="180" t="s">
        <v>362</v>
      </c>
      <c r="D18" s="29" t="s">
        <v>64</v>
      </c>
      <c r="E18" s="7"/>
      <c r="F18" s="7"/>
      <c r="G18" s="7"/>
      <c r="H18" s="19"/>
      <c r="I18" s="7"/>
      <c r="J18" s="7"/>
      <c r="K18" s="7"/>
      <c r="L18" s="7"/>
      <c r="M18" s="7"/>
      <c r="N18" s="129">
        <v>45707.0</v>
      </c>
      <c r="O18" s="129">
        <f>N18+U18</f>
        <v>45797</v>
      </c>
      <c r="P18" s="132">
        <v>2.9163021824E10</v>
      </c>
      <c r="Q18" s="166"/>
      <c r="R18" s="167">
        <v>45603.0</v>
      </c>
      <c r="S18" s="132" t="s">
        <v>337</v>
      </c>
      <c r="T18" s="135">
        <v>50400.0</v>
      </c>
      <c r="U18" s="132">
        <v>90.0</v>
      </c>
      <c r="V18" s="134">
        <f>1.75%*12</f>
        <v>0.21</v>
      </c>
      <c r="W18" s="135">
        <f>T18*(V18/365*U18)</f>
        <v>2609.753425</v>
      </c>
      <c r="X18" s="135">
        <f>T18</f>
        <v>50400</v>
      </c>
      <c r="Y18" s="135">
        <f>X18+W18</f>
        <v>53009.75342</v>
      </c>
      <c r="Z18" s="53" t="s">
        <v>344</v>
      </c>
      <c r="AA18" s="168">
        <f>53009.75+207.12</f>
        <v>53216.87</v>
      </c>
      <c r="AB18" s="169">
        <v>45802.0</v>
      </c>
      <c r="AC18" s="135">
        <f>AB18-N18</f>
        <v>95</v>
      </c>
      <c r="AD18" s="135">
        <f>T18*30%/365*(AC18-U18)</f>
        <v>207.1232877</v>
      </c>
      <c r="AE18" s="135">
        <f>AA18-Y18</f>
        <v>207.1165753</v>
      </c>
      <c r="AF18" s="135">
        <f>AD18+AE18</f>
        <v>414.239863</v>
      </c>
      <c r="AG18" s="135">
        <f>AD18+W18</f>
        <v>2816.876712</v>
      </c>
    </row>
    <row r="19">
      <c r="A19" s="7"/>
      <c r="B19" s="7"/>
      <c r="C19" s="31" t="s">
        <v>57</v>
      </c>
      <c r="D19" s="32" t="s">
        <v>65</v>
      </c>
      <c r="E19" s="33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>
      <c r="A20" s="9" t="s">
        <v>40</v>
      </c>
      <c r="B20" s="9" t="s">
        <v>1</v>
      </c>
      <c r="C20" s="9" t="s">
        <v>2</v>
      </c>
      <c r="D20" s="9" t="s">
        <v>3</v>
      </c>
      <c r="E20" s="20"/>
      <c r="F20" s="9" t="s">
        <v>5</v>
      </c>
      <c r="G20" s="9" t="s">
        <v>6</v>
      </c>
      <c r="H20" s="9" t="s">
        <v>7</v>
      </c>
      <c r="I20" s="10" t="s">
        <v>8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>
      <c r="A21" s="12">
        <v>3.0</v>
      </c>
      <c r="B21" s="14" t="s">
        <v>52</v>
      </c>
      <c r="C21" s="14" t="s">
        <v>10</v>
      </c>
      <c r="D21" s="15" t="s">
        <v>79</v>
      </c>
      <c r="E21" s="14" t="s">
        <v>12</v>
      </c>
      <c r="F21" s="14" t="s">
        <v>13</v>
      </c>
      <c r="G21" s="15" t="s">
        <v>358</v>
      </c>
      <c r="H21" s="113">
        <v>100000.0</v>
      </c>
      <c r="I21" s="106">
        <v>100062.0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>
      <c r="A22" s="12">
        <v>3.0</v>
      </c>
      <c r="B22" s="14" t="s">
        <v>52</v>
      </c>
      <c r="C22" s="14" t="s">
        <v>10</v>
      </c>
      <c r="D22" s="15" t="s">
        <v>245</v>
      </c>
      <c r="E22" s="15" t="s">
        <v>22</v>
      </c>
      <c r="F22" s="15" t="s">
        <v>19</v>
      </c>
      <c r="G22" s="15" t="s">
        <v>358</v>
      </c>
      <c r="H22" s="16">
        <f>H21</f>
        <v>100000</v>
      </c>
      <c r="I22" s="106">
        <v>210002.0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>
      <c r="A24" s="7"/>
      <c r="B24" s="7"/>
      <c r="C24" s="180" t="s">
        <v>363</v>
      </c>
      <c r="D24" s="29" t="s">
        <v>64</v>
      </c>
      <c r="E24" s="7"/>
      <c r="F24" s="7"/>
      <c r="G24" s="7"/>
      <c r="H24" s="1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>
      <c r="A25" s="7"/>
      <c r="B25" s="7"/>
      <c r="C25" s="31" t="s">
        <v>57</v>
      </c>
      <c r="D25" s="32" t="s">
        <v>65</v>
      </c>
      <c r="E25" s="33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>
      <c r="A26" s="9" t="s">
        <v>40</v>
      </c>
      <c r="B26" s="9" t="s">
        <v>1</v>
      </c>
      <c r="C26" s="9" t="s">
        <v>2</v>
      </c>
      <c r="D26" s="9" t="s">
        <v>3</v>
      </c>
      <c r="E26" s="20"/>
      <c r="F26" s="9" t="s">
        <v>5</v>
      </c>
      <c r="G26" s="9" t="s">
        <v>6</v>
      </c>
      <c r="H26" s="9" t="s">
        <v>7</v>
      </c>
      <c r="I26" s="10" t="s">
        <v>8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>
      <c r="A27" s="12">
        <v>3.0</v>
      </c>
      <c r="B27" s="14" t="s">
        <v>52</v>
      </c>
      <c r="C27" s="14" t="s">
        <v>10</v>
      </c>
      <c r="D27" s="15" t="str">
        <f t="shared" ref="D27:E27" si="1">D22</f>
        <v>LP Investor Loan - Margin Liability - 10% Margin</v>
      </c>
      <c r="E27" s="15" t="str">
        <f t="shared" si="1"/>
        <v>Current Liability</v>
      </c>
      <c r="F27" s="14" t="s">
        <v>13</v>
      </c>
      <c r="G27" s="15" t="s">
        <v>358</v>
      </c>
      <c r="H27" s="113">
        <v>100000.0</v>
      </c>
      <c r="I27" s="106">
        <f>I22</f>
        <v>210002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>
      <c r="A28" s="12">
        <v>3.0</v>
      </c>
      <c r="B28" s="14" t="s">
        <v>52</v>
      </c>
      <c r="C28" s="14" t="s">
        <v>10</v>
      </c>
      <c r="D28" s="15" t="str">
        <f t="shared" ref="D28:E28" si="2">D21</f>
        <v>Client Receivable Clearing Acc</v>
      </c>
      <c r="E28" s="15" t="str">
        <f t="shared" si="2"/>
        <v>Current Asset</v>
      </c>
      <c r="F28" s="15" t="s">
        <v>19</v>
      </c>
      <c r="G28" s="15" t="s">
        <v>358</v>
      </c>
      <c r="H28" s="16">
        <f>H27</f>
        <v>100000</v>
      </c>
      <c r="I28" s="106">
        <f>I21</f>
        <v>100062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>
      <c r="A31" s="7"/>
      <c r="B31" s="7"/>
      <c r="C31" s="180" t="s">
        <v>364</v>
      </c>
      <c r="D31" s="29" t="s">
        <v>64</v>
      </c>
      <c r="E31" s="7"/>
      <c r="F31" s="7"/>
      <c r="G31" s="7"/>
      <c r="H31" s="1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>
      <c r="A32" s="7"/>
      <c r="B32" s="7"/>
      <c r="C32" s="31" t="s">
        <v>57</v>
      </c>
      <c r="D32" s="32" t="s">
        <v>65</v>
      </c>
      <c r="E32" s="33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>
      <c r="A33" s="9" t="s">
        <v>40</v>
      </c>
      <c r="B33" s="9" t="s">
        <v>1</v>
      </c>
      <c r="C33" s="9" t="s">
        <v>2</v>
      </c>
      <c r="D33" s="9" t="s">
        <v>3</v>
      </c>
      <c r="E33" s="20"/>
      <c r="F33" s="9" t="s">
        <v>5</v>
      </c>
      <c r="G33" s="9" t="s">
        <v>6</v>
      </c>
      <c r="H33" s="9" t="s">
        <v>7</v>
      </c>
      <c r="I33" s="10" t="s">
        <v>8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>
      <c r="A34" s="12">
        <v>3.0</v>
      </c>
      <c r="B34" s="14" t="s">
        <v>52</v>
      </c>
      <c r="C34" s="14" t="s">
        <v>10</v>
      </c>
      <c r="D34" s="15" t="s">
        <v>79</v>
      </c>
      <c r="E34" s="14" t="s">
        <v>12</v>
      </c>
      <c r="F34" s="14" t="s">
        <v>13</v>
      </c>
      <c r="G34" s="15"/>
      <c r="H34" s="113">
        <f>H35+H36</f>
        <v>10500</v>
      </c>
      <c r="I34" s="106">
        <v>100062.0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>
      <c r="A35" s="12">
        <v>3.0</v>
      </c>
      <c r="B35" s="14" t="s">
        <v>52</v>
      </c>
      <c r="C35" s="14" t="s">
        <v>10</v>
      </c>
      <c r="D35" s="14" t="s">
        <v>46</v>
      </c>
      <c r="E35" s="14" t="s">
        <v>18</v>
      </c>
      <c r="F35" s="14" t="s">
        <v>19</v>
      </c>
      <c r="G35" s="14" t="s">
        <v>47</v>
      </c>
      <c r="H35" s="113">
        <v>10000.0</v>
      </c>
      <c r="I35" s="106">
        <v>300004.0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>
      <c r="A36" s="12">
        <v>3.0</v>
      </c>
      <c r="B36" s="14" t="s">
        <v>52</v>
      </c>
      <c r="C36" s="14" t="s">
        <v>10</v>
      </c>
      <c r="D36" s="15" t="s">
        <v>36</v>
      </c>
      <c r="E36" s="14" t="s">
        <v>22</v>
      </c>
      <c r="F36" s="14" t="s">
        <v>19</v>
      </c>
      <c r="G36" s="14" t="s">
        <v>48</v>
      </c>
      <c r="H36" s="16">
        <f>H35*5%</f>
        <v>500</v>
      </c>
      <c r="I36" s="106">
        <v>200065.0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>
      <c r="A41" s="7"/>
      <c r="B41" s="7"/>
      <c r="C41" s="112" t="s">
        <v>52</v>
      </c>
      <c r="D41" s="29" t="s">
        <v>64</v>
      </c>
      <c r="E41" s="7"/>
      <c r="F41" s="7"/>
      <c r="G41" s="7"/>
      <c r="H41" s="1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>
      <c r="A42" s="7"/>
      <c r="B42" s="7"/>
      <c r="C42" s="31" t="s">
        <v>57</v>
      </c>
      <c r="D42" s="32" t="s">
        <v>65</v>
      </c>
      <c r="E42" s="33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>
      <c r="A43" s="9" t="s">
        <v>40</v>
      </c>
      <c r="B43" s="9" t="s">
        <v>1</v>
      </c>
      <c r="C43" s="9" t="s">
        <v>2</v>
      </c>
      <c r="D43" s="9" t="s">
        <v>3</v>
      </c>
      <c r="E43" s="20"/>
      <c r="F43" s="9" t="s">
        <v>5</v>
      </c>
      <c r="G43" s="9" t="s">
        <v>6</v>
      </c>
      <c r="H43" s="9" t="s">
        <v>7</v>
      </c>
      <c r="I43" s="10" t="s">
        <v>8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>
      <c r="A44" s="12">
        <v>3.0</v>
      </c>
      <c r="B44" s="14" t="s">
        <v>52</v>
      </c>
      <c r="C44" s="14" t="s">
        <v>10</v>
      </c>
      <c r="D44" s="15" t="s">
        <v>79</v>
      </c>
      <c r="E44" s="14" t="s">
        <v>12</v>
      </c>
      <c r="F44" s="14" t="s">
        <v>13</v>
      </c>
      <c r="G44" s="15" t="s">
        <v>197</v>
      </c>
      <c r="H44" s="113">
        <v>149213.49</v>
      </c>
      <c r="I44" s="17">
        <v>100062.0</v>
      </c>
      <c r="J44" s="7"/>
      <c r="K44" s="7"/>
      <c r="L44" s="7"/>
      <c r="M44" s="7"/>
      <c r="N44" s="56"/>
      <c r="O44" s="5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>
      <c r="A45" s="12">
        <v>3.0</v>
      </c>
      <c r="B45" s="14" t="s">
        <v>52</v>
      </c>
      <c r="C45" s="14" t="s">
        <v>10</v>
      </c>
      <c r="D45" s="15" t="s">
        <v>365</v>
      </c>
      <c r="E45" s="15" t="s">
        <v>22</v>
      </c>
      <c r="F45" s="15" t="s">
        <v>19</v>
      </c>
      <c r="G45" s="15" t="s">
        <v>197</v>
      </c>
      <c r="H45" s="16">
        <f>H44</f>
        <v>149213.49</v>
      </c>
      <c r="I45" s="150">
        <v>200087.0</v>
      </c>
      <c r="J45" s="7"/>
      <c r="K45" s="7"/>
      <c r="L45" s="11"/>
      <c r="M45" s="7"/>
      <c r="N45" s="56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11"/>
      <c r="M46" s="7"/>
      <c r="N46" s="7"/>
      <c r="O46" s="5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11"/>
      <c r="M47" s="7"/>
      <c r="N47" s="7"/>
      <c r="O47" s="104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>
      <c r="A48" s="7"/>
      <c r="B48" s="7"/>
      <c r="C48" s="112" t="s">
        <v>200</v>
      </c>
      <c r="D48" s="29" t="s">
        <v>64</v>
      </c>
      <c r="E48" s="7"/>
      <c r="F48" s="7"/>
      <c r="G48" s="7"/>
      <c r="H48" s="19"/>
      <c r="I48" s="7"/>
      <c r="J48" s="7"/>
      <c r="K48" s="7"/>
      <c r="L48" s="11"/>
      <c r="M48" s="7"/>
      <c r="N48" s="7"/>
      <c r="O48" s="104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>
      <c r="A49" s="7"/>
      <c r="B49" s="7"/>
      <c r="C49" s="31" t="s">
        <v>57</v>
      </c>
      <c r="D49" s="32" t="s">
        <v>65</v>
      </c>
      <c r="E49" s="33"/>
      <c r="F49" s="7"/>
      <c r="G49" s="7"/>
      <c r="H49" s="7"/>
      <c r="I49" s="7"/>
      <c r="J49" s="7"/>
      <c r="K49" s="7"/>
      <c r="L49" s="1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>
      <c r="A50" s="9" t="s">
        <v>40</v>
      </c>
      <c r="B50" s="9" t="s">
        <v>1</v>
      </c>
      <c r="C50" s="9" t="s">
        <v>2</v>
      </c>
      <c r="D50" s="9" t="s">
        <v>3</v>
      </c>
      <c r="E50" s="20"/>
      <c r="F50" s="9" t="s">
        <v>5</v>
      </c>
      <c r="G50" s="9" t="s">
        <v>6</v>
      </c>
      <c r="H50" s="9" t="s">
        <v>7</v>
      </c>
      <c r="I50" s="10" t="s">
        <v>8</v>
      </c>
      <c r="J50" s="7"/>
      <c r="K50" s="7"/>
      <c r="L50" s="1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>
      <c r="A51" s="12">
        <v>3.0</v>
      </c>
      <c r="B51" s="15" t="s">
        <v>200</v>
      </c>
      <c r="C51" s="14" t="s">
        <v>10</v>
      </c>
      <c r="D51" s="15" t="str">
        <f>D45</f>
        <v>Payable Financing - Clearing</v>
      </c>
      <c r="E51" s="15" t="s">
        <v>22</v>
      </c>
      <c r="F51" s="15" t="s">
        <v>13</v>
      </c>
      <c r="G51" s="15" t="s">
        <v>83</v>
      </c>
      <c r="H51" s="16">
        <v>235.98287671232538</v>
      </c>
      <c r="I51" s="150">
        <f>I45</f>
        <v>200087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>
      <c r="A52" s="12">
        <v>3.0</v>
      </c>
      <c r="B52" s="15" t="s">
        <v>200</v>
      </c>
      <c r="C52" s="14" t="s">
        <v>10</v>
      </c>
      <c r="D52" s="15" t="s">
        <v>79</v>
      </c>
      <c r="E52" s="14" t="s">
        <v>12</v>
      </c>
      <c r="F52" s="15" t="s">
        <v>19</v>
      </c>
      <c r="G52" s="15" t="s">
        <v>83</v>
      </c>
      <c r="H52" s="16">
        <f>H51</f>
        <v>235.9828767</v>
      </c>
      <c r="I52" s="17">
        <v>100062.0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1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>
      <c r="A56" s="7"/>
      <c r="B56" s="53" t="s">
        <v>67</v>
      </c>
      <c r="C56" s="43" t="s">
        <v>311</v>
      </c>
      <c r="D56" s="151" t="s">
        <v>64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>
      <c r="A57" s="7"/>
      <c r="B57" s="7"/>
      <c r="C57" s="101" t="s">
        <v>57</v>
      </c>
      <c r="D57" s="102" t="s">
        <v>167</v>
      </c>
      <c r="E57" s="30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>
      <c r="A58" s="92" t="s">
        <v>0</v>
      </c>
      <c r="B58" s="92" t="s">
        <v>1</v>
      </c>
      <c r="C58" s="92" t="s">
        <v>2</v>
      </c>
      <c r="D58" s="92" t="s">
        <v>3</v>
      </c>
      <c r="E58" s="152"/>
      <c r="F58" s="92" t="s">
        <v>5</v>
      </c>
      <c r="G58" s="92" t="s">
        <v>6</v>
      </c>
      <c r="H58" s="105" t="s">
        <v>7</v>
      </c>
      <c r="I58" s="9" t="s">
        <v>8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</row>
    <row r="59">
      <c r="A59" s="110"/>
      <c r="B59" s="106" t="s">
        <v>66</v>
      </c>
      <c r="C59" s="106" t="s">
        <v>10</v>
      </c>
      <c r="D59" s="106" t="s">
        <v>345</v>
      </c>
      <c r="E59" s="106" t="s">
        <v>18</v>
      </c>
      <c r="F59" s="106" t="s">
        <v>19</v>
      </c>
      <c r="G59" s="106" t="s">
        <v>69</v>
      </c>
      <c r="H59" s="108">
        <f>S8</f>
        <v>289.97</v>
      </c>
      <c r="I59" s="106">
        <v>300009.0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>
      <c r="A60" s="110"/>
      <c r="B60" s="106" t="s">
        <v>66</v>
      </c>
      <c r="C60" s="106" t="s">
        <v>10</v>
      </c>
      <c r="D60" s="106" t="s">
        <v>346</v>
      </c>
      <c r="E60" s="106" t="s">
        <v>12</v>
      </c>
      <c r="F60" s="106" t="s">
        <v>13</v>
      </c>
      <c r="G60" s="106" t="s">
        <v>69</v>
      </c>
      <c r="H60" s="108">
        <f>H59</f>
        <v>289.97</v>
      </c>
      <c r="I60" s="106">
        <v>100036.0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</row>
    <row r="63">
      <c r="A63" s="7"/>
      <c r="B63" s="53" t="s">
        <v>103</v>
      </c>
      <c r="C63" s="43" t="s">
        <v>312</v>
      </c>
      <c r="D63" s="151" t="s">
        <v>64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>
      <c r="A64" s="7"/>
      <c r="B64" s="7"/>
      <c r="C64" s="101" t="s">
        <v>57</v>
      </c>
      <c r="D64" s="102" t="s">
        <v>167</v>
      </c>
      <c r="E64" s="30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</row>
    <row r="65">
      <c r="A65" s="92" t="s">
        <v>0</v>
      </c>
      <c r="B65" s="92" t="s">
        <v>1</v>
      </c>
      <c r="C65" s="170" t="s">
        <v>2</v>
      </c>
      <c r="D65" s="92" t="s">
        <v>3</v>
      </c>
      <c r="E65" s="152"/>
      <c r="F65" s="92" t="s">
        <v>5</v>
      </c>
      <c r="G65" s="92" t="s">
        <v>6</v>
      </c>
      <c r="H65" s="92" t="s">
        <v>7</v>
      </c>
      <c r="I65" s="9" t="s">
        <v>8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>
      <c r="A66" s="110"/>
      <c r="B66" s="106" t="s">
        <v>66</v>
      </c>
      <c r="C66" s="106" t="s">
        <v>10</v>
      </c>
      <c r="D66" s="106" t="s">
        <v>345</v>
      </c>
      <c r="E66" s="106" t="s">
        <v>18</v>
      </c>
      <c r="F66" s="106" t="s">
        <v>19</v>
      </c>
      <c r="G66" s="106" t="s">
        <v>69</v>
      </c>
      <c r="H66" s="108">
        <f>R9</f>
        <v>898.92</v>
      </c>
      <c r="I66" s="106">
        <v>300009.0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</row>
    <row r="67">
      <c r="A67" s="110"/>
      <c r="B67" s="106" t="s">
        <v>66</v>
      </c>
      <c r="C67" s="106" t="s">
        <v>10</v>
      </c>
      <c r="D67" s="106" t="s">
        <v>346</v>
      </c>
      <c r="E67" s="106" t="s">
        <v>12</v>
      </c>
      <c r="F67" s="106" t="s">
        <v>13</v>
      </c>
      <c r="G67" s="106" t="s">
        <v>69</v>
      </c>
      <c r="H67" s="108">
        <f>H66</f>
        <v>898.92</v>
      </c>
      <c r="I67" s="106">
        <v>100036.0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>
      <c r="A69" s="7"/>
      <c r="B69" s="53" t="s">
        <v>118</v>
      </c>
      <c r="C69" s="43" t="s">
        <v>313</v>
      </c>
      <c r="D69" s="151" t="s">
        <v>64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>
      <c r="A70" s="7"/>
      <c r="B70" s="7"/>
      <c r="C70" s="101" t="s">
        <v>57</v>
      </c>
      <c r="D70" s="102" t="s">
        <v>167</v>
      </c>
      <c r="E70" s="30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>
      <c r="A71" s="92" t="s">
        <v>0</v>
      </c>
      <c r="B71" s="92" t="s">
        <v>1</v>
      </c>
      <c r="C71" s="92" t="s">
        <v>2</v>
      </c>
      <c r="D71" s="92" t="s">
        <v>3</v>
      </c>
      <c r="E71" s="152"/>
      <c r="F71" s="92" t="s">
        <v>5</v>
      </c>
      <c r="G71" s="92" t="s">
        <v>6</v>
      </c>
      <c r="H71" s="92" t="s">
        <v>7</v>
      </c>
      <c r="I71" s="9" t="s">
        <v>8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>
      <c r="A72" s="110"/>
      <c r="B72" s="106" t="s">
        <v>66</v>
      </c>
      <c r="C72" s="106" t="s">
        <v>10</v>
      </c>
      <c r="D72" s="106" t="s">
        <v>345</v>
      </c>
      <c r="E72" s="106" t="s">
        <v>18</v>
      </c>
      <c r="F72" s="106" t="s">
        <v>19</v>
      </c>
      <c r="G72" s="106" t="s">
        <v>69</v>
      </c>
      <c r="H72" s="106">
        <f>S10</f>
        <v>869.92</v>
      </c>
      <c r="I72" s="106">
        <v>300009.0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>
      <c r="A73" s="110"/>
      <c r="B73" s="106" t="s">
        <v>66</v>
      </c>
      <c r="C73" s="106" t="s">
        <v>10</v>
      </c>
      <c r="D73" s="106" t="s">
        <v>346</v>
      </c>
      <c r="E73" s="106" t="s">
        <v>12</v>
      </c>
      <c r="F73" s="106" t="s">
        <v>13</v>
      </c>
      <c r="G73" s="106" t="s">
        <v>69</v>
      </c>
      <c r="H73" s="106">
        <f>H72</f>
        <v>869.92</v>
      </c>
      <c r="I73" s="106">
        <v>100036.0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>
      <c r="A75" s="7"/>
      <c r="B75" s="53" t="s">
        <v>139</v>
      </c>
      <c r="C75" s="43" t="s">
        <v>314</v>
      </c>
      <c r="D75" s="151" t="s">
        <v>64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>
      <c r="A76" s="7"/>
      <c r="B76" s="7"/>
      <c r="C76" s="101" t="s">
        <v>57</v>
      </c>
      <c r="D76" s="102" t="s">
        <v>167</v>
      </c>
      <c r="E76" s="30"/>
      <c r="F76" s="7"/>
      <c r="G76" s="7"/>
      <c r="H76" s="7"/>
      <c r="I76" s="7"/>
      <c r="J76" s="7"/>
      <c r="K76" s="11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>
      <c r="A77" s="92" t="s">
        <v>0</v>
      </c>
      <c r="B77" s="92" t="s">
        <v>1</v>
      </c>
      <c r="C77" s="92" t="s">
        <v>2</v>
      </c>
      <c r="D77" s="92" t="s">
        <v>3</v>
      </c>
      <c r="E77" s="152"/>
      <c r="F77" s="92" t="s">
        <v>5</v>
      </c>
      <c r="G77" s="92" t="s">
        <v>6</v>
      </c>
      <c r="H77" s="92" t="s">
        <v>7</v>
      </c>
      <c r="I77" s="9" t="s">
        <v>8</v>
      </c>
      <c r="J77" s="7"/>
      <c r="K77" s="11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>
      <c r="A78" s="110"/>
      <c r="B78" s="106" t="s">
        <v>66</v>
      </c>
      <c r="C78" s="106" t="s">
        <v>10</v>
      </c>
      <c r="D78" s="106" t="s">
        <v>345</v>
      </c>
      <c r="E78" s="106" t="s">
        <v>18</v>
      </c>
      <c r="F78" s="106" t="s">
        <v>19</v>
      </c>
      <c r="G78" s="106" t="s">
        <v>69</v>
      </c>
      <c r="H78" s="106">
        <f>S11</f>
        <v>550.95</v>
      </c>
      <c r="I78" s="106">
        <v>300009.0</v>
      </c>
      <c r="J78" s="7"/>
      <c r="K78" s="11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>
      <c r="A79" s="110"/>
      <c r="B79" s="106" t="s">
        <v>66</v>
      </c>
      <c r="C79" s="106" t="s">
        <v>10</v>
      </c>
      <c r="D79" s="106" t="s">
        <v>346</v>
      </c>
      <c r="E79" s="106" t="s">
        <v>12</v>
      </c>
      <c r="F79" s="106" t="s">
        <v>13</v>
      </c>
      <c r="G79" s="106" t="s">
        <v>69</v>
      </c>
      <c r="H79" s="106">
        <f>H78</f>
        <v>550.95</v>
      </c>
      <c r="I79" s="106">
        <v>100036.0</v>
      </c>
      <c r="J79" s="7"/>
      <c r="K79" s="11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11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>
      <c r="A81" s="147" t="s">
        <v>366</v>
      </c>
      <c r="B81" s="7"/>
      <c r="C81" s="7"/>
      <c r="D81" s="7"/>
      <c r="E81" s="7"/>
      <c r="F81" s="7"/>
      <c r="G81" s="7"/>
      <c r="H81" s="7"/>
      <c r="I81" s="7"/>
      <c r="J81" s="7"/>
      <c r="K81" s="11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>
      <c r="A82" s="92" t="s">
        <v>0</v>
      </c>
      <c r="B82" s="92" t="s">
        <v>1</v>
      </c>
      <c r="C82" s="92" t="s">
        <v>2</v>
      </c>
      <c r="D82" s="92" t="s">
        <v>3</v>
      </c>
      <c r="E82" s="92" t="s">
        <v>4</v>
      </c>
      <c r="F82" s="92" t="s">
        <v>5</v>
      </c>
      <c r="G82" s="92" t="s">
        <v>6</v>
      </c>
      <c r="H82" s="92" t="s">
        <v>7</v>
      </c>
      <c r="I82" s="9" t="s">
        <v>8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>
      <c r="A83" s="110"/>
      <c r="B83" s="109" t="s">
        <v>292</v>
      </c>
      <c r="C83" s="106" t="s">
        <v>10</v>
      </c>
      <c r="D83" s="106" t="s">
        <v>365</v>
      </c>
      <c r="E83" s="106" t="s">
        <v>22</v>
      </c>
      <c r="F83" s="106" t="s">
        <v>13</v>
      </c>
      <c r="G83" s="106" t="s">
        <v>90</v>
      </c>
      <c r="H83" s="108">
        <f>H84+H85</f>
        <v>53009.75342</v>
      </c>
      <c r="I83" s="106">
        <v>200087.0</v>
      </c>
      <c r="J83" s="7"/>
      <c r="K83" s="11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>
      <c r="A84" s="110"/>
      <c r="B84" s="109" t="s">
        <v>292</v>
      </c>
      <c r="C84" s="106" t="s">
        <v>10</v>
      </c>
      <c r="D84" s="106" t="s">
        <v>348</v>
      </c>
      <c r="E84" s="106" t="s">
        <v>12</v>
      </c>
      <c r="F84" s="106" t="s">
        <v>19</v>
      </c>
      <c r="G84" s="106" t="s">
        <v>14</v>
      </c>
      <c r="H84" s="108">
        <v>50400.0</v>
      </c>
      <c r="I84" s="106">
        <v>100033.0</v>
      </c>
      <c r="J84" s="7"/>
      <c r="K84" s="11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>
      <c r="A85" s="110"/>
      <c r="B85" s="109" t="s">
        <v>292</v>
      </c>
      <c r="C85" s="106" t="s">
        <v>10</v>
      </c>
      <c r="D85" s="106" t="s">
        <v>346</v>
      </c>
      <c r="E85" s="106" t="s">
        <v>12</v>
      </c>
      <c r="F85" s="106" t="s">
        <v>19</v>
      </c>
      <c r="G85" s="106" t="s">
        <v>349</v>
      </c>
      <c r="H85" s="108">
        <f>W5</f>
        <v>2609.753425</v>
      </c>
      <c r="I85" s="106">
        <v>100036.0</v>
      </c>
      <c r="J85" s="7"/>
      <c r="K85" s="11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>
      <c r="A90" s="8" t="s">
        <v>347</v>
      </c>
      <c r="B90" s="7"/>
      <c r="C90" s="8" t="s">
        <v>296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>
      <c r="A91" s="92" t="s">
        <v>0</v>
      </c>
      <c r="B91" s="92" t="s">
        <v>1</v>
      </c>
      <c r="C91" s="92" t="s">
        <v>2</v>
      </c>
      <c r="D91" s="92" t="s">
        <v>3</v>
      </c>
      <c r="E91" s="92" t="s">
        <v>4</v>
      </c>
      <c r="F91" s="92" t="s">
        <v>5</v>
      </c>
      <c r="G91" s="92" t="s">
        <v>6</v>
      </c>
      <c r="H91" s="92" t="s">
        <v>7</v>
      </c>
      <c r="I91" s="9" t="s">
        <v>8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</row>
    <row r="92">
      <c r="A92" s="110"/>
      <c r="B92" s="106" t="s">
        <v>140</v>
      </c>
      <c r="C92" s="106" t="s">
        <v>10</v>
      </c>
      <c r="D92" s="106" t="str">
        <f t="shared" ref="D92:E92" si="3">D51</f>
        <v>Payable Financing - Clearing</v>
      </c>
      <c r="E92" s="106" t="str">
        <f t="shared" si="3"/>
        <v>Current Liability</v>
      </c>
      <c r="F92" s="106" t="s">
        <v>13</v>
      </c>
      <c r="G92" s="106" t="s">
        <v>90</v>
      </c>
      <c r="H92" s="108">
        <f>H93+H94</f>
        <v>52864.76712</v>
      </c>
      <c r="I92" s="106">
        <f>I51</f>
        <v>200087</v>
      </c>
      <c r="J92" s="11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>
      <c r="A93" s="110"/>
      <c r="B93" s="106" t="s">
        <v>140</v>
      </c>
      <c r="C93" s="106" t="s">
        <v>10</v>
      </c>
      <c r="D93" s="106" t="s">
        <v>348</v>
      </c>
      <c r="E93" s="106" t="s">
        <v>12</v>
      </c>
      <c r="F93" s="106" t="s">
        <v>19</v>
      </c>
      <c r="G93" s="106" t="s">
        <v>14</v>
      </c>
      <c r="H93" s="108">
        <f>T14</f>
        <v>50400</v>
      </c>
      <c r="I93" s="106">
        <v>100033.0</v>
      </c>
      <c r="J93" s="11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</row>
    <row r="94">
      <c r="A94" s="110"/>
      <c r="B94" s="106" t="s">
        <v>140</v>
      </c>
      <c r="C94" s="106" t="s">
        <v>10</v>
      </c>
      <c r="D94" s="106" t="s">
        <v>346</v>
      </c>
      <c r="E94" s="106" t="s">
        <v>12</v>
      </c>
      <c r="F94" s="106" t="s">
        <v>19</v>
      </c>
      <c r="G94" s="106" t="s">
        <v>349</v>
      </c>
      <c r="H94" s="108">
        <f>AG14</f>
        <v>2464.767123</v>
      </c>
      <c r="I94" s="106">
        <v>100036.0</v>
      </c>
      <c r="J94" s="11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>
      <c r="A95" s="110"/>
      <c r="B95" s="106" t="s">
        <v>140</v>
      </c>
      <c r="C95" s="106" t="s">
        <v>10</v>
      </c>
      <c r="D95" s="106" t="str">
        <f t="shared" ref="D95:E95" si="4">D92</f>
        <v>Payable Financing - Clearing</v>
      </c>
      <c r="E95" s="106" t="str">
        <f t="shared" si="4"/>
        <v>Current Liability</v>
      </c>
      <c r="F95" s="106" t="s">
        <v>13</v>
      </c>
      <c r="G95" s="106" t="s">
        <v>90</v>
      </c>
      <c r="H95" s="108">
        <f>H96+H97</f>
        <v>0</v>
      </c>
      <c r="I95" s="106">
        <f>I92</f>
        <v>200087</v>
      </c>
      <c r="J95" s="11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>
      <c r="A96" s="110"/>
      <c r="B96" s="106" t="s">
        <v>140</v>
      </c>
      <c r="C96" s="106" t="s">
        <v>10</v>
      </c>
      <c r="D96" s="106" t="s">
        <v>152</v>
      </c>
      <c r="E96" s="106" t="s">
        <v>22</v>
      </c>
      <c r="F96" s="106" t="s">
        <v>19</v>
      </c>
      <c r="G96" s="106" t="s">
        <v>23</v>
      </c>
      <c r="H96" s="108">
        <f>AE14*0</f>
        <v>0</v>
      </c>
      <c r="I96" s="106">
        <v>200078.0</v>
      </c>
      <c r="J96" s="11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>
      <c r="A97" s="110"/>
      <c r="B97" s="106" t="s">
        <v>140</v>
      </c>
      <c r="C97" s="106" t="s">
        <v>10</v>
      </c>
      <c r="D97" s="106" t="s">
        <v>350</v>
      </c>
      <c r="E97" s="106" t="s">
        <v>22</v>
      </c>
      <c r="F97" s="106" t="s">
        <v>19</v>
      </c>
      <c r="G97" s="106" t="s">
        <v>23</v>
      </c>
      <c r="H97" s="108">
        <f>AD14*0</f>
        <v>0</v>
      </c>
      <c r="I97" s="106">
        <v>200079.0</v>
      </c>
      <c r="J97" s="11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>
      <c r="A99" s="7"/>
      <c r="B99" s="53" t="s">
        <v>139</v>
      </c>
      <c r="C99" s="43" t="s">
        <v>314</v>
      </c>
      <c r="D99" s="171" t="s">
        <v>351</v>
      </c>
      <c r="E99" s="7"/>
      <c r="F99" s="7"/>
      <c r="G99" s="7"/>
      <c r="H99" s="7"/>
      <c r="I99" s="7"/>
      <c r="J99" s="11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>
      <c r="A100" s="7"/>
      <c r="B100" s="7"/>
      <c r="C100" s="101" t="s">
        <v>57</v>
      </c>
      <c r="D100" s="102" t="s">
        <v>167</v>
      </c>
      <c r="E100" s="30"/>
      <c r="F100" s="7"/>
      <c r="G100" s="7"/>
      <c r="H100" s="7"/>
      <c r="I100" s="7"/>
      <c r="J100" s="11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>
      <c r="A101" s="92" t="s">
        <v>0</v>
      </c>
      <c r="B101" s="92" t="s">
        <v>1</v>
      </c>
      <c r="C101" s="92" t="s">
        <v>2</v>
      </c>
      <c r="D101" s="92" t="s">
        <v>3</v>
      </c>
      <c r="E101" s="152"/>
      <c r="F101" s="92" t="s">
        <v>5</v>
      </c>
      <c r="G101" s="92" t="s">
        <v>6</v>
      </c>
      <c r="H101" s="92" t="s">
        <v>7</v>
      </c>
      <c r="I101" s="9" t="s">
        <v>8</v>
      </c>
      <c r="J101" s="11"/>
      <c r="K101" s="7"/>
    </row>
    <row r="102">
      <c r="A102" s="110"/>
      <c r="B102" s="106" t="s">
        <v>66</v>
      </c>
      <c r="C102" s="106" t="s">
        <v>10</v>
      </c>
      <c r="D102" s="106" t="s">
        <v>345</v>
      </c>
      <c r="E102" s="106" t="s">
        <v>18</v>
      </c>
      <c r="F102" s="106" t="s">
        <v>19</v>
      </c>
      <c r="G102" s="106" t="s">
        <v>69</v>
      </c>
      <c r="H102" s="108">
        <f>S11-(W14-AG14)</f>
        <v>405.9636986</v>
      </c>
      <c r="I102" s="106">
        <v>300009.0</v>
      </c>
      <c r="J102" s="7"/>
      <c r="K102" s="7"/>
    </row>
    <row r="103">
      <c r="A103" s="110"/>
      <c r="B103" s="106" t="s">
        <v>66</v>
      </c>
      <c r="C103" s="106" t="s">
        <v>10</v>
      </c>
      <c r="D103" s="106" t="s">
        <v>346</v>
      </c>
      <c r="E103" s="106" t="s">
        <v>12</v>
      </c>
      <c r="F103" s="106" t="s">
        <v>13</v>
      </c>
      <c r="G103" s="106" t="s">
        <v>69</v>
      </c>
      <c r="H103" s="108">
        <f>H102</f>
        <v>405.9636986</v>
      </c>
      <c r="I103" s="106">
        <v>100036.0</v>
      </c>
      <c r="J103" s="7"/>
      <c r="K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>
      <c r="A105" s="8" t="s">
        <v>352</v>
      </c>
      <c r="B105" s="7"/>
      <c r="C105" s="8" t="s">
        <v>296</v>
      </c>
      <c r="D105" s="7"/>
      <c r="E105" s="7"/>
      <c r="F105" s="7"/>
      <c r="G105" s="7"/>
      <c r="H105" s="7"/>
      <c r="I105" s="7"/>
      <c r="J105" s="7"/>
      <c r="K105" s="7"/>
    </row>
    <row r="106">
      <c r="A106" s="7"/>
      <c r="B106" s="7"/>
      <c r="C106" s="7"/>
      <c r="D106" s="7"/>
      <c r="E106" s="7"/>
      <c r="F106" s="7"/>
      <c r="G106" s="7"/>
      <c r="H106" s="116"/>
      <c r="I106" s="7"/>
      <c r="J106" s="7"/>
      <c r="K106" s="7"/>
    </row>
    <row r="107">
      <c r="A107" s="92" t="s">
        <v>0</v>
      </c>
      <c r="B107" s="92" t="s">
        <v>1</v>
      </c>
      <c r="C107" s="92" t="s">
        <v>2</v>
      </c>
      <c r="D107" s="92" t="s">
        <v>3</v>
      </c>
      <c r="E107" s="92" t="s">
        <v>4</v>
      </c>
      <c r="F107" s="92" t="s">
        <v>5</v>
      </c>
      <c r="G107" s="92" t="s">
        <v>6</v>
      </c>
      <c r="H107" s="105" t="s">
        <v>7</v>
      </c>
      <c r="I107" s="9" t="s">
        <v>8</v>
      </c>
      <c r="J107" s="7"/>
      <c r="K107" s="7"/>
    </row>
    <row r="108">
      <c r="A108" s="110"/>
      <c r="B108" s="106" t="s">
        <v>353</v>
      </c>
      <c r="C108" s="106" t="s">
        <v>10</v>
      </c>
      <c r="D108" s="106" t="str">
        <f t="shared" ref="D108:E108" si="5">D95</f>
        <v>Payable Financing - Clearing</v>
      </c>
      <c r="E108" s="106" t="str">
        <f t="shared" si="5"/>
        <v>Current Liability</v>
      </c>
      <c r="F108" s="106" t="s">
        <v>13</v>
      </c>
      <c r="G108" s="106" t="s">
        <v>90</v>
      </c>
      <c r="H108" s="108">
        <f>H109+H110+H111</f>
        <v>53216.87671</v>
      </c>
      <c r="I108" s="106">
        <f>I95</f>
        <v>200087</v>
      </c>
      <c r="J108" s="7"/>
      <c r="K108" s="7"/>
    </row>
    <row r="109">
      <c r="A109" s="110"/>
      <c r="B109" s="106" t="s">
        <v>353</v>
      </c>
      <c r="C109" s="106" t="s">
        <v>10</v>
      </c>
      <c r="D109" s="106" t="s">
        <v>348</v>
      </c>
      <c r="E109" s="106" t="s">
        <v>12</v>
      </c>
      <c r="F109" s="106" t="s">
        <v>19</v>
      </c>
      <c r="G109" s="106" t="s">
        <v>14</v>
      </c>
      <c r="H109" s="108">
        <f>T18</f>
        <v>50400</v>
      </c>
      <c r="I109" s="106">
        <v>100033.0</v>
      </c>
      <c r="J109" s="7"/>
      <c r="K109" s="7"/>
    </row>
    <row r="110">
      <c r="A110" s="110"/>
      <c r="B110" s="106" t="s">
        <v>353</v>
      </c>
      <c r="C110" s="106" t="s">
        <v>10</v>
      </c>
      <c r="D110" s="106" t="s">
        <v>346</v>
      </c>
      <c r="E110" s="106" t="s">
        <v>12</v>
      </c>
      <c r="F110" s="106" t="s">
        <v>19</v>
      </c>
      <c r="G110" s="106" t="s">
        <v>349</v>
      </c>
      <c r="H110" s="108">
        <f>W18</f>
        <v>2609.753425</v>
      </c>
      <c r="I110" s="106">
        <v>100036.0</v>
      </c>
      <c r="J110" s="7"/>
      <c r="K110" s="7"/>
    </row>
    <row r="111">
      <c r="A111" s="110"/>
      <c r="B111" s="106" t="s">
        <v>353</v>
      </c>
      <c r="C111" s="106" t="s">
        <v>10</v>
      </c>
      <c r="D111" s="109" t="s">
        <v>367</v>
      </c>
      <c r="E111" s="106" t="s">
        <v>18</v>
      </c>
      <c r="F111" s="106" t="s">
        <v>19</v>
      </c>
      <c r="G111" s="106" t="s">
        <v>368</v>
      </c>
      <c r="H111" s="108">
        <f>AD18</f>
        <v>207.1232877</v>
      </c>
      <c r="I111" s="109">
        <v>300017.0</v>
      </c>
      <c r="J111" s="7"/>
      <c r="K111" s="7"/>
    </row>
    <row r="112">
      <c r="A112" s="110"/>
      <c r="B112" s="106" t="s">
        <v>353</v>
      </c>
      <c r="C112" s="106" t="s">
        <v>10</v>
      </c>
      <c r="D112" s="106" t="s">
        <v>354</v>
      </c>
      <c r="E112" s="106" t="s">
        <v>12</v>
      </c>
      <c r="F112" s="106" t="s">
        <v>13</v>
      </c>
      <c r="G112" s="110"/>
      <c r="H112" s="108">
        <f>AD18</f>
        <v>207.1232877</v>
      </c>
      <c r="I112" s="106">
        <v>100030.0</v>
      </c>
      <c r="J112" s="7"/>
      <c r="K112" s="7"/>
    </row>
    <row r="113">
      <c r="A113" s="110"/>
      <c r="B113" s="106" t="s">
        <v>353</v>
      </c>
      <c r="C113" s="106" t="s">
        <v>10</v>
      </c>
      <c r="D113" s="106" t="s">
        <v>354</v>
      </c>
      <c r="E113" s="106" t="s">
        <v>12</v>
      </c>
      <c r="F113" s="106" t="s">
        <v>19</v>
      </c>
      <c r="G113" s="110"/>
      <c r="H113" s="108">
        <f>H112</f>
        <v>207.1232877</v>
      </c>
      <c r="I113" s="106">
        <v>100030.0</v>
      </c>
      <c r="J113" s="7"/>
      <c r="K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>
      <c r="A115" s="7"/>
      <c r="B115" s="53" t="s">
        <v>139</v>
      </c>
      <c r="C115" s="43" t="s">
        <v>314</v>
      </c>
      <c r="D115" s="171" t="s">
        <v>355</v>
      </c>
      <c r="E115" s="7"/>
      <c r="F115" s="7"/>
      <c r="G115" s="7"/>
      <c r="H115" s="7"/>
      <c r="I115" s="7"/>
      <c r="J115" s="7"/>
      <c r="K115" s="7"/>
    </row>
    <row r="116">
      <c r="A116" s="7"/>
      <c r="B116" s="7"/>
      <c r="C116" s="101" t="s">
        <v>57</v>
      </c>
      <c r="D116" s="102" t="s">
        <v>167</v>
      </c>
      <c r="E116" s="30"/>
      <c r="F116" s="7"/>
      <c r="G116" s="7"/>
      <c r="H116" s="116"/>
      <c r="I116" s="7"/>
      <c r="J116" s="7"/>
      <c r="K116" s="7"/>
    </row>
    <row r="117">
      <c r="A117" s="92" t="s">
        <v>0</v>
      </c>
      <c r="B117" s="92" t="s">
        <v>1</v>
      </c>
      <c r="C117" s="92" t="s">
        <v>2</v>
      </c>
      <c r="D117" s="92" t="s">
        <v>3</v>
      </c>
      <c r="E117" s="152"/>
      <c r="F117" s="92" t="s">
        <v>5</v>
      </c>
      <c r="G117" s="92" t="s">
        <v>6</v>
      </c>
      <c r="H117" s="105" t="s">
        <v>7</v>
      </c>
      <c r="I117" s="9" t="s">
        <v>8</v>
      </c>
      <c r="J117" s="7"/>
      <c r="K117" s="7"/>
    </row>
    <row r="118">
      <c r="A118" s="110"/>
      <c r="B118" s="106" t="s">
        <v>66</v>
      </c>
      <c r="C118" s="106" t="s">
        <v>10</v>
      </c>
      <c r="D118" s="106" t="s">
        <v>345</v>
      </c>
      <c r="E118" s="106" t="s">
        <v>18</v>
      </c>
      <c r="F118" s="106" t="s">
        <v>19</v>
      </c>
      <c r="G118" s="106" t="s">
        <v>69</v>
      </c>
      <c r="H118" s="106">
        <f>S11*0</f>
        <v>0</v>
      </c>
      <c r="I118" s="106">
        <v>300009.0</v>
      </c>
      <c r="J118" s="7"/>
      <c r="K118" s="7"/>
    </row>
    <row r="119">
      <c r="A119" s="110"/>
      <c r="B119" s="106" t="s">
        <v>66</v>
      </c>
      <c r="C119" s="106" t="s">
        <v>10</v>
      </c>
      <c r="D119" s="106" t="s">
        <v>346</v>
      </c>
      <c r="E119" s="106" t="s">
        <v>12</v>
      </c>
      <c r="F119" s="106" t="s">
        <v>13</v>
      </c>
      <c r="G119" s="106" t="s">
        <v>69</v>
      </c>
      <c r="H119" s="106">
        <f>H118</f>
        <v>0</v>
      </c>
      <c r="I119" s="106">
        <v>100036.0</v>
      </c>
      <c r="J119" s="7"/>
      <c r="K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>
      <c r="A121" s="53" t="s">
        <v>139</v>
      </c>
      <c r="B121" s="8" t="s">
        <v>305</v>
      </c>
      <c r="C121" s="7"/>
      <c r="D121" s="7"/>
      <c r="E121" s="7"/>
      <c r="F121" s="7"/>
      <c r="G121" s="7"/>
      <c r="H121" s="7"/>
      <c r="I121" s="7"/>
      <c r="J121" s="7"/>
      <c r="K121" s="7"/>
    </row>
    <row r="122">
      <c r="A122" s="7"/>
      <c r="B122" s="43" t="s">
        <v>297</v>
      </c>
      <c r="C122" s="101" t="s">
        <v>57</v>
      </c>
      <c r="D122" s="102" t="s">
        <v>86</v>
      </c>
      <c r="F122" s="7"/>
      <c r="G122" s="7"/>
      <c r="H122" s="116"/>
      <c r="I122" s="7"/>
      <c r="J122" s="7"/>
      <c r="K122" s="7"/>
    </row>
    <row r="123">
      <c r="A123" s="92" t="s">
        <v>0</v>
      </c>
      <c r="B123" s="92" t="s">
        <v>1</v>
      </c>
      <c r="C123" s="92" t="s">
        <v>2</v>
      </c>
      <c r="D123" s="92" t="s">
        <v>3</v>
      </c>
      <c r="E123" s="92" t="s">
        <v>4</v>
      </c>
      <c r="F123" s="92" t="s">
        <v>5</v>
      </c>
      <c r="G123" s="92" t="s">
        <v>6</v>
      </c>
      <c r="H123" s="105" t="s">
        <v>7</v>
      </c>
      <c r="I123" s="9" t="s">
        <v>8</v>
      </c>
      <c r="J123" s="7"/>
      <c r="K123" s="7"/>
    </row>
    <row r="124">
      <c r="A124" s="110"/>
      <c r="B124" s="106" t="s">
        <v>52</v>
      </c>
      <c r="C124" s="106" t="s">
        <v>10</v>
      </c>
      <c r="D124" s="106" t="s">
        <v>155</v>
      </c>
      <c r="E124" s="106" t="s">
        <v>156</v>
      </c>
      <c r="F124" s="106" t="s">
        <v>13</v>
      </c>
      <c r="G124" s="106" t="s">
        <v>156</v>
      </c>
      <c r="H124" s="108">
        <f>H125</f>
        <v>50400</v>
      </c>
      <c r="I124" s="106">
        <v>400041.0</v>
      </c>
      <c r="J124" s="7"/>
      <c r="K124" s="7"/>
    </row>
    <row r="125">
      <c r="A125" s="110"/>
      <c r="B125" s="106" t="s">
        <v>52</v>
      </c>
      <c r="C125" s="106" t="s">
        <v>10</v>
      </c>
      <c r="D125" s="106" t="s">
        <v>348</v>
      </c>
      <c r="E125" s="106" t="s">
        <v>12</v>
      </c>
      <c r="F125" s="106" t="s">
        <v>19</v>
      </c>
      <c r="G125" s="110"/>
      <c r="H125" s="108">
        <f>T5</f>
        <v>50400</v>
      </c>
      <c r="I125" s="106">
        <v>100033.0</v>
      </c>
      <c r="J125" s="7"/>
      <c r="K125" s="7"/>
    </row>
    <row r="126">
      <c r="A126" s="7"/>
      <c r="B126" s="7"/>
      <c r="C126" s="7"/>
      <c r="D126" s="7"/>
      <c r="E126" s="7"/>
      <c r="F126" s="7"/>
      <c r="G126" s="7"/>
      <c r="H126" s="116"/>
      <c r="I126" s="7"/>
      <c r="J126" s="7"/>
      <c r="K126" s="7"/>
    </row>
    <row r="127">
      <c r="A127" s="7"/>
      <c r="B127" s="43" t="s">
        <v>63</v>
      </c>
      <c r="C127" s="101" t="s">
        <v>57</v>
      </c>
      <c r="D127" s="102" t="s">
        <v>167</v>
      </c>
      <c r="E127" s="30"/>
      <c r="F127" s="7"/>
      <c r="G127" s="7"/>
      <c r="H127" s="116"/>
      <c r="I127" s="7"/>
      <c r="J127" s="7"/>
      <c r="K127" s="7"/>
    </row>
    <row r="128">
      <c r="A128" s="92" t="s">
        <v>0</v>
      </c>
      <c r="B128" s="92" t="s">
        <v>1</v>
      </c>
      <c r="C128" s="92" t="s">
        <v>2</v>
      </c>
      <c r="D128" s="92" t="s">
        <v>3</v>
      </c>
      <c r="E128" s="152"/>
      <c r="F128" s="92" t="s">
        <v>5</v>
      </c>
      <c r="G128" s="92" t="s">
        <v>6</v>
      </c>
      <c r="H128" s="92" t="s">
        <v>7</v>
      </c>
      <c r="I128" s="9" t="s">
        <v>8</v>
      </c>
      <c r="J128" s="7"/>
      <c r="K128" s="7"/>
    </row>
    <row r="129">
      <c r="A129" s="110"/>
      <c r="B129" s="106" t="s">
        <v>66</v>
      </c>
      <c r="C129" s="106" t="s">
        <v>10</v>
      </c>
      <c r="D129" s="106" t="s">
        <v>345</v>
      </c>
      <c r="E129" s="106" t="s">
        <v>18</v>
      </c>
      <c r="F129" s="106" t="s">
        <v>13</v>
      </c>
      <c r="G129" s="106" t="s">
        <v>69</v>
      </c>
      <c r="H129" s="106">
        <f>S8+S9+S10+S11</f>
        <v>2609.76</v>
      </c>
      <c r="I129" s="106">
        <v>300009.0</v>
      </c>
      <c r="J129" s="7"/>
      <c r="K129" s="7"/>
    </row>
    <row r="130">
      <c r="A130" s="110"/>
      <c r="B130" s="106" t="s">
        <v>66</v>
      </c>
      <c r="C130" s="106" t="s">
        <v>10</v>
      </c>
      <c r="D130" s="106" t="s">
        <v>346</v>
      </c>
      <c r="E130" s="106" t="s">
        <v>12</v>
      </c>
      <c r="F130" s="106" t="s">
        <v>19</v>
      </c>
      <c r="G130" s="106" t="s">
        <v>69</v>
      </c>
      <c r="H130" s="106">
        <f>H129</f>
        <v>2609.76</v>
      </c>
      <c r="I130" s="106">
        <v>100036.0</v>
      </c>
      <c r="J130" s="7"/>
      <c r="K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>
      <c r="A132" s="53" t="s">
        <v>139</v>
      </c>
      <c r="B132" s="8" t="s">
        <v>267</v>
      </c>
      <c r="C132" s="7"/>
      <c r="D132" s="7"/>
      <c r="E132" s="7"/>
      <c r="F132" s="7"/>
      <c r="G132" s="7"/>
      <c r="H132" s="7"/>
      <c r="I132" s="7"/>
      <c r="J132" s="7"/>
    </row>
    <row r="133">
      <c r="A133" s="7"/>
      <c r="B133" s="43" t="s">
        <v>297</v>
      </c>
      <c r="C133" s="101" t="s">
        <v>57</v>
      </c>
      <c r="D133" s="102" t="s">
        <v>86</v>
      </c>
      <c r="F133" s="7"/>
      <c r="G133" s="7"/>
      <c r="H133" s="7"/>
      <c r="I133" s="7"/>
      <c r="J133" s="7"/>
    </row>
    <row r="134">
      <c r="A134" s="92" t="s">
        <v>0</v>
      </c>
      <c r="B134" s="92" t="s">
        <v>1</v>
      </c>
      <c r="C134" s="92" t="s">
        <v>2</v>
      </c>
      <c r="D134" s="92" t="s">
        <v>3</v>
      </c>
      <c r="E134" s="92" t="s">
        <v>4</v>
      </c>
      <c r="F134" s="92" t="s">
        <v>5</v>
      </c>
      <c r="G134" s="92" t="s">
        <v>6</v>
      </c>
      <c r="H134" s="92" t="s">
        <v>7</v>
      </c>
      <c r="I134" s="9" t="s">
        <v>8</v>
      </c>
      <c r="J134" s="7"/>
    </row>
    <row r="135">
      <c r="A135" s="110"/>
      <c r="B135" s="106" t="s">
        <v>52</v>
      </c>
      <c r="C135" s="106" t="s">
        <v>10</v>
      </c>
      <c r="D135" s="106" t="s">
        <v>155</v>
      </c>
      <c r="E135" s="106" t="s">
        <v>156</v>
      </c>
      <c r="F135" s="106" t="s">
        <v>13</v>
      </c>
      <c r="G135" s="106" t="s">
        <v>156</v>
      </c>
      <c r="H135" s="108">
        <f>T5/2</f>
        <v>25200</v>
      </c>
      <c r="I135" s="106">
        <v>400041.0</v>
      </c>
      <c r="J135" s="7"/>
    </row>
    <row r="136">
      <c r="A136" s="110"/>
      <c r="B136" s="106" t="s">
        <v>52</v>
      </c>
      <c r="C136" s="106" t="s">
        <v>10</v>
      </c>
      <c r="D136" s="106" t="s">
        <v>348</v>
      </c>
      <c r="E136" s="106" t="s">
        <v>12</v>
      </c>
      <c r="F136" s="106" t="s">
        <v>19</v>
      </c>
      <c r="G136" s="110"/>
      <c r="H136" s="108">
        <f>H135</f>
        <v>25200</v>
      </c>
      <c r="I136" s="106">
        <v>100033.0</v>
      </c>
      <c r="J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>
      <c r="A138" s="7"/>
      <c r="B138" s="43" t="s">
        <v>63</v>
      </c>
      <c r="C138" s="101" t="s">
        <v>57</v>
      </c>
      <c r="D138" s="102" t="s">
        <v>167</v>
      </c>
      <c r="E138" s="30"/>
      <c r="F138" s="7"/>
      <c r="G138" s="7"/>
      <c r="H138" s="116"/>
      <c r="I138" s="7"/>
      <c r="J138" s="7"/>
    </row>
    <row r="139">
      <c r="A139" s="92" t="s">
        <v>0</v>
      </c>
      <c r="B139" s="92" t="s">
        <v>1</v>
      </c>
      <c r="C139" s="92" t="s">
        <v>2</v>
      </c>
      <c r="D139" s="92" t="s">
        <v>3</v>
      </c>
      <c r="E139" s="152"/>
      <c r="F139" s="92" t="s">
        <v>5</v>
      </c>
      <c r="G139" s="92" t="s">
        <v>6</v>
      </c>
      <c r="H139" s="105" t="s">
        <v>7</v>
      </c>
      <c r="I139" s="9" t="s">
        <v>8</v>
      </c>
      <c r="J139" s="7"/>
    </row>
    <row r="140">
      <c r="A140" s="110"/>
      <c r="B140" s="106" t="s">
        <v>66</v>
      </c>
      <c r="C140" s="106" t="s">
        <v>10</v>
      </c>
      <c r="D140" s="106" t="s">
        <v>345</v>
      </c>
      <c r="E140" s="106" t="s">
        <v>18</v>
      </c>
      <c r="F140" s="106" t="s">
        <v>356</v>
      </c>
      <c r="G140" s="106" t="s">
        <v>69</v>
      </c>
      <c r="H140" s="106">
        <f>S11</f>
        <v>550.95</v>
      </c>
      <c r="I140" s="106">
        <v>300009.0</v>
      </c>
      <c r="J140" s="7"/>
    </row>
    <row r="141">
      <c r="A141" s="110"/>
      <c r="B141" s="106" t="s">
        <v>66</v>
      </c>
      <c r="C141" s="106" t="s">
        <v>10</v>
      </c>
      <c r="D141" s="106" t="s">
        <v>346</v>
      </c>
      <c r="E141" s="106" t="s">
        <v>12</v>
      </c>
      <c r="F141" s="106" t="s">
        <v>13</v>
      </c>
      <c r="G141" s="106" t="s">
        <v>69</v>
      </c>
      <c r="H141" s="106">
        <f>H140</f>
        <v>550.95</v>
      </c>
      <c r="I141" s="106">
        <v>100036.0</v>
      </c>
      <c r="J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>
      <c r="A148" s="172"/>
      <c r="B148" s="172"/>
      <c r="C148" s="172"/>
      <c r="D148" s="172"/>
      <c r="E148" s="172"/>
      <c r="F148" s="172"/>
      <c r="G148" s="172"/>
      <c r="H148" s="172"/>
      <c r="I148" s="173"/>
    </row>
    <row r="149">
      <c r="A149" s="89"/>
      <c r="B149" s="174"/>
      <c r="C149" s="174"/>
      <c r="D149" s="174"/>
      <c r="E149" s="174"/>
      <c r="F149" s="174"/>
      <c r="G149" s="174"/>
      <c r="H149" s="175"/>
      <c r="I149" s="174"/>
    </row>
    <row r="150">
      <c r="A150" s="89"/>
      <c r="B150" s="174"/>
      <c r="C150" s="174"/>
      <c r="D150" s="174"/>
      <c r="E150" s="174"/>
      <c r="F150" s="174"/>
      <c r="G150" s="89"/>
      <c r="H150" s="175"/>
      <c r="I150" s="174"/>
    </row>
    <row r="151">
      <c r="A151" s="89"/>
      <c r="B151" s="89"/>
      <c r="C151" s="89"/>
      <c r="D151" s="89"/>
      <c r="E151" s="89"/>
      <c r="F151" s="89"/>
      <c r="G151" s="89"/>
      <c r="H151" s="89"/>
      <c r="I151" s="89"/>
    </row>
    <row r="152">
      <c r="A152" s="89"/>
      <c r="B152" s="176"/>
      <c r="C152" s="177"/>
      <c r="D152" s="178"/>
      <c r="E152" s="89"/>
      <c r="F152" s="89"/>
      <c r="G152" s="89"/>
      <c r="H152" s="89"/>
      <c r="I152" s="89"/>
    </row>
    <row r="153">
      <c r="A153" s="172"/>
      <c r="B153" s="172"/>
      <c r="C153" s="172"/>
      <c r="D153" s="172"/>
      <c r="E153" s="89"/>
      <c r="F153" s="172"/>
      <c r="G153" s="172"/>
      <c r="H153" s="172"/>
      <c r="I153" s="173"/>
    </row>
    <row r="154">
      <c r="A154" s="89"/>
      <c r="B154" s="174"/>
      <c r="C154" s="174"/>
      <c r="D154" s="174"/>
      <c r="E154" s="174"/>
      <c r="F154" s="174"/>
      <c r="G154" s="174"/>
      <c r="H154" s="174"/>
      <c r="I154" s="174"/>
    </row>
    <row r="155">
      <c r="A155" s="89"/>
      <c r="B155" s="174"/>
      <c r="C155" s="174"/>
      <c r="D155" s="174"/>
      <c r="E155" s="174"/>
      <c r="F155" s="174"/>
      <c r="G155" s="174"/>
      <c r="H155" s="174"/>
      <c r="I155" s="174"/>
    </row>
    <row r="156">
      <c r="A156" s="89"/>
      <c r="B156" s="89"/>
      <c r="C156" s="89"/>
      <c r="D156" s="89"/>
      <c r="E156" s="89"/>
      <c r="F156" s="89"/>
      <c r="G156" s="89"/>
      <c r="H156" s="89"/>
      <c r="I156" s="89"/>
    </row>
    <row r="157">
      <c r="A157" s="179"/>
      <c r="B157" s="179"/>
      <c r="C157" s="179"/>
      <c r="D157" s="179"/>
      <c r="E157" s="179"/>
      <c r="F157" s="179"/>
      <c r="G157" s="179"/>
      <c r="H157" s="179"/>
      <c r="I157" s="179"/>
    </row>
    <row r="158">
      <c r="A158" s="179"/>
      <c r="B158" s="179"/>
      <c r="C158" s="179"/>
      <c r="D158" s="179"/>
      <c r="E158" s="179"/>
      <c r="F158" s="179"/>
      <c r="G158" s="179"/>
      <c r="H158" s="179"/>
      <c r="I158" s="179"/>
    </row>
    <row r="159">
      <c r="A159" s="179"/>
      <c r="B159" s="179"/>
      <c r="C159" s="179"/>
      <c r="D159" s="179"/>
      <c r="E159" s="179"/>
      <c r="F159" s="179"/>
      <c r="G159" s="179"/>
      <c r="H159" s="179"/>
      <c r="I159" s="179"/>
    </row>
    <row r="160">
      <c r="A160" s="179"/>
      <c r="B160" s="179"/>
      <c r="C160" s="179"/>
      <c r="D160" s="179"/>
      <c r="E160" s="179"/>
      <c r="F160" s="179"/>
      <c r="G160" s="179"/>
      <c r="H160" s="179"/>
      <c r="I160" s="179"/>
    </row>
    <row r="161">
      <c r="A161" s="179"/>
      <c r="B161" s="179"/>
      <c r="C161" s="179"/>
      <c r="D161" s="179"/>
      <c r="E161" s="179"/>
      <c r="F161" s="179"/>
      <c r="G161" s="179"/>
      <c r="H161" s="179"/>
      <c r="I161" s="179"/>
    </row>
    <row r="162">
      <c r="A162" s="179"/>
      <c r="B162" s="179"/>
      <c r="C162" s="179"/>
      <c r="D162" s="179"/>
      <c r="E162" s="179"/>
      <c r="F162" s="179"/>
      <c r="G162" s="179"/>
      <c r="H162" s="179"/>
      <c r="I162" s="179"/>
    </row>
    <row r="163">
      <c r="A163" s="179"/>
      <c r="B163" s="179"/>
      <c r="C163" s="179"/>
      <c r="D163" s="179"/>
      <c r="E163" s="179"/>
      <c r="F163" s="179"/>
      <c r="G163" s="179"/>
      <c r="H163" s="179"/>
      <c r="I163" s="179"/>
    </row>
    <row r="164">
      <c r="A164" s="179"/>
      <c r="B164" s="179"/>
      <c r="C164" s="179"/>
      <c r="D164" s="179"/>
      <c r="E164" s="179"/>
      <c r="F164" s="179"/>
      <c r="G164" s="179"/>
      <c r="H164" s="179"/>
      <c r="I164" s="179"/>
    </row>
    <row r="165">
      <c r="A165" s="179"/>
      <c r="B165" s="179"/>
      <c r="C165" s="179"/>
      <c r="D165" s="179"/>
      <c r="E165" s="179"/>
      <c r="F165" s="179"/>
      <c r="G165" s="179"/>
      <c r="H165" s="179"/>
      <c r="I165" s="179"/>
    </row>
    <row r="166">
      <c r="A166" s="179"/>
      <c r="B166" s="179"/>
      <c r="C166" s="179"/>
      <c r="D166" s="179"/>
      <c r="E166" s="179"/>
      <c r="F166" s="179"/>
      <c r="G166" s="179"/>
      <c r="H166" s="179"/>
      <c r="I166" s="179"/>
    </row>
  </sheetData>
  <mergeCells count="4">
    <mergeCell ref="A2:C2"/>
    <mergeCell ref="F10:G10"/>
    <mergeCell ref="D122:E122"/>
    <mergeCell ref="D133:E13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0.38"/>
  </cols>
  <sheetData>
    <row r="1">
      <c r="A1" s="100" t="s">
        <v>369</v>
      </c>
    </row>
    <row r="2">
      <c r="A2" s="91" t="s">
        <v>370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371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28" t="s">
        <v>39</v>
      </c>
      <c r="D4" s="151" t="s">
        <v>372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101" t="s">
        <v>57</v>
      </c>
      <c r="D5" s="102" t="s">
        <v>167</v>
      </c>
      <c r="E5" s="30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92" t="s">
        <v>0</v>
      </c>
      <c r="B6" s="92" t="s">
        <v>1</v>
      </c>
      <c r="C6" s="92" t="s">
        <v>2</v>
      </c>
      <c r="D6" s="92" t="s">
        <v>3</v>
      </c>
      <c r="E6" s="92" t="s">
        <v>4</v>
      </c>
      <c r="F6" s="92" t="s">
        <v>5</v>
      </c>
      <c r="G6" s="92" t="s">
        <v>6</v>
      </c>
      <c r="H6" s="92" t="s">
        <v>7</v>
      </c>
      <c r="I6" s="9" t="s">
        <v>8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10"/>
      <c r="B7" s="106" t="s">
        <v>9</v>
      </c>
      <c r="C7" s="106" t="s">
        <v>10</v>
      </c>
      <c r="D7" s="106" t="s">
        <v>348</v>
      </c>
      <c r="E7" s="106" t="s">
        <v>45</v>
      </c>
      <c r="F7" s="106" t="s">
        <v>13</v>
      </c>
      <c r="G7" s="106" t="s">
        <v>14</v>
      </c>
      <c r="H7" s="108">
        <v>51238.0</v>
      </c>
      <c r="I7" s="106">
        <v>100033.0</v>
      </c>
      <c r="J7" s="7"/>
      <c r="K7" s="7"/>
      <c r="L7" s="126" t="s">
        <v>41</v>
      </c>
      <c r="M7" s="126" t="s">
        <v>270</v>
      </c>
      <c r="N7" s="126" t="s">
        <v>271</v>
      </c>
      <c r="O7" s="126" t="s">
        <v>373</v>
      </c>
      <c r="P7" s="126" t="s">
        <v>272</v>
      </c>
      <c r="Q7" s="126" t="s">
        <v>273</v>
      </c>
      <c r="R7" s="126" t="s">
        <v>274</v>
      </c>
      <c r="S7" s="126" t="s">
        <v>374</v>
      </c>
      <c r="T7" s="126" t="s">
        <v>375</v>
      </c>
      <c r="U7" s="126" t="s">
        <v>276</v>
      </c>
      <c r="V7" s="126" t="s">
        <v>125</v>
      </c>
      <c r="W7" s="126" t="s">
        <v>376</v>
      </c>
      <c r="X7" s="126" t="s">
        <v>377</v>
      </c>
      <c r="Y7" s="126" t="s">
        <v>277</v>
      </c>
      <c r="Z7" s="126" t="s">
        <v>278</v>
      </c>
    </row>
    <row r="8">
      <c r="A8" s="110"/>
      <c r="B8" s="106" t="s">
        <v>52</v>
      </c>
      <c r="C8" s="106" t="s">
        <v>10</v>
      </c>
      <c r="D8" s="106" t="s">
        <v>348</v>
      </c>
      <c r="E8" s="106" t="s">
        <v>45</v>
      </c>
      <c r="F8" s="106" t="s">
        <v>19</v>
      </c>
      <c r="G8" s="106" t="s">
        <v>14</v>
      </c>
      <c r="H8" s="108">
        <v>8539.67</v>
      </c>
      <c r="I8" s="106">
        <v>100033.0</v>
      </c>
      <c r="J8" s="7"/>
      <c r="K8" s="7"/>
      <c r="L8" s="128">
        <v>45730.0</v>
      </c>
      <c r="M8" s="129">
        <f>L8+30*5</f>
        <v>45880</v>
      </c>
      <c r="N8" s="54">
        <v>1.51426661927E11</v>
      </c>
      <c r="O8" s="64"/>
      <c r="P8" s="181"/>
      <c r="Q8" s="89"/>
      <c r="R8" s="182">
        <v>51238.0</v>
      </c>
      <c r="S8" s="126">
        <v>5.0</v>
      </c>
      <c r="T8" s="183">
        <f>R8/6</f>
        <v>8539.666667</v>
      </c>
      <c r="U8" s="184">
        <f>1.5%*12</f>
        <v>0.18</v>
      </c>
      <c r="V8" s="135">
        <f>(R8-T8)*(U8/12*S8)</f>
        <v>3202.375</v>
      </c>
      <c r="W8" s="137">
        <f>V8/6</f>
        <v>533.7291667</v>
      </c>
      <c r="X8" s="137">
        <f>T8+W8</f>
        <v>9073.395833</v>
      </c>
      <c r="Y8" s="137">
        <f>R8</f>
        <v>51238</v>
      </c>
      <c r="Z8" s="137">
        <f>X8*6</f>
        <v>54440.375</v>
      </c>
    </row>
    <row r="9">
      <c r="A9" s="110"/>
      <c r="B9" s="106" t="s">
        <v>52</v>
      </c>
      <c r="C9" s="106" t="s">
        <v>10</v>
      </c>
      <c r="D9" s="106" t="s">
        <v>79</v>
      </c>
      <c r="E9" s="106" t="s">
        <v>45</v>
      </c>
      <c r="F9" s="106" t="s">
        <v>13</v>
      </c>
      <c r="G9" s="106" t="s">
        <v>90</v>
      </c>
      <c r="H9" s="108">
        <v>8539.67</v>
      </c>
      <c r="I9" s="106">
        <v>100062.0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10"/>
      <c r="B10" s="106" t="s">
        <v>66</v>
      </c>
      <c r="C10" s="106" t="s">
        <v>10</v>
      </c>
      <c r="D10" s="106" t="s">
        <v>345</v>
      </c>
      <c r="E10" s="106" t="s">
        <v>18</v>
      </c>
      <c r="F10" s="106" t="s">
        <v>19</v>
      </c>
      <c r="G10" s="106" t="s">
        <v>69</v>
      </c>
      <c r="H10" s="108">
        <v>533.73</v>
      </c>
      <c r="I10" s="106">
        <v>300009.0</v>
      </c>
      <c r="J10" s="7"/>
      <c r="K10" s="7"/>
      <c r="L10" s="53" t="s">
        <v>112</v>
      </c>
      <c r="M10" s="53" t="s">
        <v>113</v>
      </c>
      <c r="N10" s="53" t="s">
        <v>114</v>
      </c>
      <c r="O10" s="53" t="s">
        <v>115</v>
      </c>
      <c r="P10" s="53" t="s">
        <v>116</v>
      </c>
      <c r="Q10" s="53" t="s">
        <v>117</v>
      </c>
      <c r="R10" s="7"/>
      <c r="S10" s="7"/>
      <c r="T10" s="7"/>
      <c r="U10" s="7"/>
      <c r="V10" s="7"/>
      <c r="W10" s="7"/>
      <c r="X10" s="7"/>
      <c r="Y10" s="7"/>
      <c r="Z10" s="7"/>
    </row>
    <row r="11">
      <c r="A11" s="110"/>
      <c r="B11" s="106" t="s">
        <v>66</v>
      </c>
      <c r="C11" s="106" t="s">
        <v>10</v>
      </c>
      <c r="D11" s="106" t="s">
        <v>79</v>
      </c>
      <c r="E11" s="106" t="s">
        <v>45</v>
      </c>
      <c r="F11" s="106" t="s">
        <v>13</v>
      </c>
      <c r="G11" s="106" t="s">
        <v>90</v>
      </c>
      <c r="H11" s="108">
        <v>533.73</v>
      </c>
      <c r="I11" s="106">
        <v>100062.0</v>
      </c>
      <c r="J11" s="7"/>
      <c r="K11" s="7"/>
      <c r="L11" s="54">
        <v>1.0</v>
      </c>
      <c r="M11" s="128">
        <v>45747.0</v>
      </c>
      <c r="N11" s="54">
        <v>51238.0</v>
      </c>
      <c r="O11" s="54">
        <v>42698.33</v>
      </c>
      <c r="P11" s="54">
        <v>376.75</v>
      </c>
      <c r="Q11" s="54">
        <v>376.75</v>
      </c>
      <c r="R11" s="56">
        <f>N11*U8/365*17</f>
        <v>429.5569315</v>
      </c>
      <c r="S11" s="56"/>
      <c r="T11" s="56"/>
      <c r="U11" s="56"/>
      <c r="V11" s="56"/>
      <c r="W11" s="56"/>
      <c r="X11" s="56"/>
      <c r="Y11" s="7"/>
      <c r="Z11" s="56"/>
    </row>
    <row r="12">
      <c r="A12" s="110"/>
      <c r="B12" s="106" t="s">
        <v>9</v>
      </c>
      <c r="C12" s="106" t="s">
        <v>10</v>
      </c>
      <c r="D12" s="106" t="s">
        <v>338</v>
      </c>
      <c r="E12" s="106" t="s">
        <v>22</v>
      </c>
      <c r="F12" s="106" t="s">
        <v>19</v>
      </c>
      <c r="G12" s="106" t="s">
        <v>23</v>
      </c>
      <c r="H12" s="108">
        <v>51238.0</v>
      </c>
      <c r="I12" s="106">
        <v>200042.0</v>
      </c>
      <c r="J12" s="7"/>
      <c r="K12" s="7"/>
      <c r="L12" s="54">
        <v>2.0</v>
      </c>
      <c r="M12" s="185">
        <f t="shared" ref="M12:M16" si="1">EOMONTH(M11,1)</f>
        <v>45777</v>
      </c>
      <c r="N12" s="54">
        <v>42698.33</v>
      </c>
      <c r="O12" s="54">
        <v>34158.66</v>
      </c>
      <c r="P12" s="54">
        <v>627.92</v>
      </c>
      <c r="Q12" s="54">
        <v>627.92</v>
      </c>
      <c r="R12" s="56">
        <f>(N12*U8/365*29)+(O12*U8/365*1)</f>
        <v>627.4899764</v>
      </c>
      <c r="S12" s="7"/>
      <c r="T12" s="7"/>
      <c r="U12" s="7"/>
      <c r="V12" s="56"/>
      <c r="W12" s="56"/>
      <c r="X12" s="56"/>
      <c r="Y12" s="56"/>
      <c r="Z12" s="56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54">
        <v>3.0</v>
      </c>
      <c r="M13" s="185">
        <f t="shared" si="1"/>
        <v>45808</v>
      </c>
      <c r="N13" s="54">
        <v>34158.66</v>
      </c>
      <c r="O13" s="54">
        <v>25618.99</v>
      </c>
      <c r="P13" s="54">
        <v>648.85</v>
      </c>
      <c r="Q13" s="54">
        <v>648.85</v>
      </c>
      <c r="R13" s="56">
        <f>(N13*U8/365*30)+(O13*U8/365*1)</f>
        <v>517.9950197</v>
      </c>
      <c r="S13" s="7"/>
      <c r="T13" s="7"/>
      <c r="U13" s="7"/>
      <c r="V13" s="56"/>
      <c r="W13" s="56"/>
      <c r="X13" s="56"/>
      <c r="Y13" s="56"/>
      <c r="Z13" s="56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54">
        <v>4.0</v>
      </c>
      <c r="M14" s="185">
        <f t="shared" si="1"/>
        <v>45838</v>
      </c>
      <c r="N14" s="54">
        <v>25618.99</v>
      </c>
      <c r="O14" s="54">
        <v>17079.32</v>
      </c>
      <c r="P14" s="54">
        <v>627.92</v>
      </c>
      <c r="Q14" s="54">
        <v>627.92</v>
      </c>
      <c r="R14" s="56">
        <f>(N14*U8/365*29)+(O14*U8/365*1)</f>
        <v>374.8093299</v>
      </c>
      <c r="S14" s="7"/>
      <c r="T14" s="7"/>
      <c r="U14" s="7"/>
      <c r="V14" s="56"/>
      <c r="W14" s="56"/>
      <c r="X14" s="56"/>
      <c r="Y14" s="56"/>
      <c r="Z14" s="56"/>
    </row>
    <row r="15">
      <c r="A15" s="7"/>
      <c r="B15" s="7"/>
      <c r="C15" s="28" t="s">
        <v>39</v>
      </c>
      <c r="D15" s="151" t="s">
        <v>56</v>
      </c>
      <c r="E15" s="7"/>
      <c r="F15" s="7"/>
      <c r="G15" s="7"/>
      <c r="H15" s="7"/>
      <c r="I15" s="7"/>
      <c r="J15" s="7"/>
      <c r="K15" s="7"/>
      <c r="L15" s="54">
        <v>5.0</v>
      </c>
      <c r="M15" s="185">
        <f t="shared" si="1"/>
        <v>45869</v>
      </c>
      <c r="N15" s="54">
        <v>17079.32</v>
      </c>
      <c r="O15" s="54">
        <v>8539.65</v>
      </c>
      <c r="P15" s="54">
        <v>648.85</v>
      </c>
      <c r="Q15" s="54">
        <v>648.85</v>
      </c>
      <c r="R15" s="7"/>
      <c r="S15" s="7"/>
      <c r="T15" s="7"/>
      <c r="U15" s="7"/>
      <c r="V15" s="56"/>
      <c r="W15" s="56"/>
      <c r="X15" s="56"/>
      <c r="Y15" s="56"/>
      <c r="Z15" s="56"/>
    </row>
    <row r="16">
      <c r="A16" s="7"/>
      <c r="B16" s="7"/>
      <c r="C16" s="101" t="s">
        <v>57</v>
      </c>
      <c r="D16" s="102" t="s">
        <v>58</v>
      </c>
      <c r="E16" s="30"/>
      <c r="F16" s="34" t="s">
        <v>59</v>
      </c>
      <c r="H16" s="7"/>
      <c r="I16" s="7"/>
      <c r="J16" s="7"/>
      <c r="K16" s="7"/>
      <c r="L16" s="54">
        <v>6.0</v>
      </c>
      <c r="M16" s="185">
        <f t="shared" si="1"/>
        <v>45900</v>
      </c>
      <c r="N16" s="54">
        <v>8539.65</v>
      </c>
      <c r="O16" s="54">
        <v>0.0</v>
      </c>
      <c r="P16" s="54">
        <v>272.1</v>
      </c>
      <c r="Q16" s="54">
        <v>272.1</v>
      </c>
      <c r="R16" s="56">
        <f>N15*U8/365*31</f>
        <v>261.103029</v>
      </c>
      <c r="S16" s="7"/>
      <c r="T16" s="7"/>
      <c r="U16" s="7"/>
      <c r="V16" s="56"/>
      <c r="W16" s="56"/>
      <c r="X16" s="56"/>
      <c r="Y16" s="56"/>
      <c r="Z16" s="56"/>
    </row>
    <row r="17">
      <c r="A17" s="92" t="s">
        <v>0</v>
      </c>
      <c r="B17" s="92" t="s">
        <v>1</v>
      </c>
      <c r="C17" s="92" t="s">
        <v>2</v>
      </c>
      <c r="D17" s="92" t="s">
        <v>3</v>
      </c>
      <c r="E17" s="92" t="s">
        <v>4</v>
      </c>
      <c r="F17" s="92" t="s">
        <v>5</v>
      </c>
      <c r="G17" s="92" t="s">
        <v>6</v>
      </c>
      <c r="H17" s="92" t="s">
        <v>7</v>
      </c>
      <c r="I17" s="9" t="s">
        <v>8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10"/>
      <c r="B18" s="106" t="s">
        <v>9</v>
      </c>
      <c r="C18" s="106" t="s">
        <v>10</v>
      </c>
      <c r="D18" s="106" t="s">
        <v>338</v>
      </c>
      <c r="E18" s="106" t="s">
        <v>22</v>
      </c>
      <c r="F18" s="106" t="s">
        <v>13</v>
      </c>
      <c r="G18" s="106" t="s">
        <v>23</v>
      </c>
      <c r="H18" s="108">
        <v>51238.0</v>
      </c>
      <c r="I18" s="106">
        <v>200042.0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10"/>
      <c r="B19" s="106" t="s">
        <v>9</v>
      </c>
      <c r="C19" s="106" t="s">
        <v>10</v>
      </c>
      <c r="D19" s="106" t="s">
        <v>60</v>
      </c>
      <c r="E19" s="106" t="s">
        <v>61</v>
      </c>
      <c r="F19" s="106" t="s">
        <v>19</v>
      </c>
      <c r="G19" s="106" t="s">
        <v>62</v>
      </c>
      <c r="H19" s="108">
        <v>51238.0</v>
      </c>
      <c r="I19" s="106">
        <v>100003.0</v>
      </c>
      <c r="J19" s="7"/>
      <c r="K19" s="7"/>
      <c r="L19" s="7" t="s">
        <v>120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53" t="s">
        <v>121</v>
      </c>
      <c r="M20" s="53" t="s">
        <v>122</v>
      </c>
      <c r="N20" s="53" t="s">
        <v>123</v>
      </c>
      <c r="O20" s="53" t="s">
        <v>124</v>
      </c>
      <c r="P20" s="53" t="s">
        <v>125</v>
      </c>
      <c r="Q20" s="53" t="s">
        <v>114</v>
      </c>
      <c r="R20" s="53" t="s">
        <v>126</v>
      </c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28" t="s">
        <v>63</v>
      </c>
      <c r="D21" s="151" t="s">
        <v>64</v>
      </c>
      <c r="E21" s="7"/>
      <c r="F21" s="7"/>
      <c r="G21" s="7"/>
      <c r="H21" s="7"/>
      <c r="I21" s="7"/>
      <c r="J21" s="7"/>
      <c r="K21" s="7"/>
      <c r="L21" s="54">
        <v>1.0</v>
      </c>
      <c r="M21" s="128">
        <v>45730.0</v>
      </c>
      <c r="N21" s="54">
        <v>9073.4</v>
      </c>
      <c r="O21" s="54">
        <v>8539.67</v>
      </c>
      <c r="P21" s="54">
        <v>533.73</v>
      </c>
      <c r="Q21" s="54">
        <v>51238.0</v>
      </c>
      <c r="R21" s="54">
        <v>42698.33</v>
      </c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101" t="s">
        <v>57</v>
      </c>
      <c r="D22" s="102" t="s">
        <v>167</v>
      </c>
      <c r="E22" s="30"/>
      <c r="F22" s="7"/>
      <c r="G22" s="7"/>
      <c r="H22" s="7"/>
      <c r="I22" s="7"/>
      <c r="J22" s="7"/>
      <c r="K22" s="7"/>
      <c r="L22" s="54">
        <v>2.0</v>
      </c>
      <c r="M22" s="185">
        <f t="shared" ref="M22:M26" si="2">EDATE(M21,1)</f>
        <v>45761</v>
      </c>
      <c r="N22" s="54">
        <v>9073.4</v>
      </c>
      <c r="O22" s="54">
        <v>8539.67</v>
      </c>
      <c r="P22" s="54">
        <v>533.73</v>
      </c>
      <c r="Q22" s="54">
        <v>42698.33</v>
      </c>
      <c r="R22" s="54">
        <v>34158.66</v>
      </c>
      <c r="S22" s="7"/>
      <c r="T22" s="7"/>
      <c r="U22" s="7"/>
      <c r="V22" s="7"/>
      <c r="W22" s="7"/>
      <c r="X22" s="7"/>
      <c r="Y22" s="7"/>
      <c r="Z22" s="7"/>
    </row>
    <row r="23">
      <c r="A23" s="92" t="s">
        <v>0</v>
      </c>
      <c r="B23" s="92" t="s">
        <v>1</v>
      </c>
      <c r="C23" s="92" t="s">
        <v>2</v>
      </c>
      <c r="D23" s="92" t="s">
        <v>3</v>
      </c>
      <c r="E23" s="152"/>
      <c r="F23" s="92" t="s">
        <v>5</v>
      </c>
      <c r="G23" s="92" t="s">
        <v>6</v>
      </c>
      <c r="H23" s="92" t="s">
        <v>7</v>
      </c>
      <c r="I23" s="9" t="s">
        <v>8</v>
      </c>
      <c r="J23" s="7"/>
      <c r="K23" s="7"/>
      <c r="L23" s="54">
        <v>3.0</v>
      </c>
      <c r="M23" s="185">
        <f t="shared" si="2"/>
        <v>45791</v>
      </c>
      <c r="N23" s="54">
        <v>9073.4</v>
      </c>
      <c r="O23" s="54">
        <v>8539.67</v>
      </c>
      <c r="P23" s="54">
        <v>533.73</v>
      </c>
      <c r="Q23" s="54">
        <v>34158.66</v>
      </c>
      <c r="R23" s="54">
        <v>25618.99</v>
      </c>
      <c r="S23" s="7"/>
      <c r="T23" s="7"/>
      <c r="U23" s="7"/>
      <c r="V23" s="7"/>
      <c r="W23" s="7"/>
      <c r="X23" s="7"/>
      <c r="Y23" s="7"/>
      <c r="Z23" s="7"/>
    </row>
    <row r="24">
      <c r="A24" s="110"/>
      <c r="B24" s="106" t="s">
        <v>66</v>
      </c>
      <c r="C24" s="106" t="s">
        <v>10</v>
      </c>
      <c r="D24" s="106" t="s">
        <v>345</v>
      </c>
      <c r="E24" s="106" t="s">
        <v>18</v>
      </c>
      <c r="F24" s="106" t="s">
        <v>19</v>
      </c>
      <c r="G24" s="106" t="s">
        <v>69</v>
      </c>
      <c r="H24" s="108">
        <f>P11</f>
        <v>376.75</v>
      </c>
      <c r="I24" s="106">
        <v>300009.0</v>
      </c>
      <c r="J24" s="7"/>
      <c r="K24" s="7"/>
      <c r="L24" s="54">
        <v>4.0</v>
      </c>
      <c r="M24" s="185">
        <f t="shared" si="2"/>
        <v>45822</v>
      </c>
      <c r="N24" s="54">
        <v>9073.4</v>
      </c>
      <c r="O24" s="54">
        <v>8539.67</v>
      </c>
      <c r="P24" s="54">
        <v>533.73</v>
      </c>
      <c r="Q24" s="54">
        <v>25618.99</v>
      </c>
      <c r="R24" s="54">
        <v>17079.32</v>
      </c>
      <c r="S24" s="7"/>
      <c r="T24" s="7"/>
      <c r="U24" s="7"/>
      <c r="V24" s="7"/>
      <c r="W24" s="7"/>
      <c r="X24" s="7"/>
      <c r="Y24" s="7"/>
      <c r="Z24" s="7"/>
    </row>
    <row r="25">
      <c r="A25" s="110"/>
      <c r="B25" s="106" t="s">
        <v>66</v>
      </c>
      <c r="C25" s="106" t="s">
        <v>10</v>
      </c>
      <c r="D25" s="106" t="s">
        <v>346</v>
      </c>
      <c r="E25" s="106" t="s">
        <v>12</v>
      </c>
      <c r="F25" s="106" t="s">
        <v>13</v>
      </c>
      <c r="G25" s="106" t="s">
        <v>69</v>
      </c>
      <c r="H25" s="108">
        <f>H24</f>
        <v>376.75</v>
      </c>
      <c r="I25" s="106">
        <v>100036.0</v>
      </c>
      <c r="J25" s="7"/>
      <c r="K25" s="7"/>
      <c r="L25" s="54">
        <v>5.0</v>
      </c>
      <c r="M25" s="185">
        <f t="shared" si="2"/>
        <v>45852</v>
      </c>
      <c r="N25" s="54">
        <v>9073.4</v>
      </c>
      <c r="O25" s="54">
        <v>8539.67</v>
      </c>
      <c r="P25" s="54">
        <v>533.73</v>
      </c>
      <c r="Q25" s="54">
        <v>17079.32</v>
      </c>
      <c r="R25" s="54">
        <v>8539.65</v>
      </c>
      <c r="S25" s="7"/>
      <c r="T25" s="7"/>
      <c r="U25" s="7"/>
      <c r="V25" s="7"/>
      <c r="W25" s="7"/>
      <c r="X25" s="7"/>
      <c r="Y25" s="7"/>
      <c r="Z25" s="7"/>
    </row>
    <row r="26">
      <c r="A26" s="43" t="s">
        <v>378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54">
        <v>6.0</v>
      </c>
      <c r="M26" s="185">
        <f t="shared" si="2"/>
        <v>45883</v>
      </c>
      <c r="N26" s="54">
        <v>9073.4</v>
      </c>
      <c r="O26" s="54">
        <v>8539.67</v>
      </c>
      <c r="P26" s="54">
        <v>533.73</v>
      </c>
      <c r="Q26" s="54">
        <v>8539.65</v>
      </c>
      <c r="R26" s="54">
        <v>0.0</v>
      </c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28" t="s">
        <v>63</v>
      </c>
      <c r="D28" s="151" t="s">
        <v>64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101" t="s">
        <v>57</v>
      </c>
      <c r="D29" s="102" t="s">
        <v>167</v>
      </c>
      <c r="E29" s="30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92" t="s">
        <v>0</v>
      </c>
      <c r="B30" s="92" t="s">
        <v>1</v>
      </c>
      <c r="C30" s="92" t="s">
        <v>2</v>
      </c>
      <c r="D30" s="92" t="s">
        <v>3</v>
      </c>
      <c r="E30" s="152"/>
      <c r="F30" s="92" t="s">
        <v>5</v>
      </c>
      <c r="G30" s="92" t="s">
        <v>6</v>
      </c>
      <c r="H30" s="92" t="s">
        <v>7</v>
      </c>
      <c r="I30" s="9" t="s">
        <v>8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10"/>
      <c r="B31" s="106" t="s">
        <v>66</v>
      </c>
      <c r="C31" s="106" t="s">
        <v>10</v>
      </c>
      <c r="D31" s="106" t="s">
        <v>345</v>
      </c>
      <c r="E31" s="106" t="s">
        <v>18</v>
      </c>
      <c r="F31" s="106" t="s">
        <v>19</v>
      </c>
      <c r="G31" s="106" t="s">
        <v>69</v>
      </c>
      <c r="H31" s="108">
        <f>Q12</f>
        <v>627.92</v>
      </c>
      <c r="I31" s="106">
        <v>300009.0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10"/>
      <c r="B32" s="106" t="s">
        <v>66</v>
      </c>
      <c r="C32" s="106" t="s">
        <v>10</v>
      </c>
      <c r="D32" s="106" t="s">
        <v>346</v>
      </c>
      <c r="E32" s="106" t="s">
        <v>12</v>
      </c>
      <c r="F32" s="106" t="s">
        <v>13</v>
      </c>
      <c r="G32" s="106" t="s">
        <v>69</v>
      </c>
      <c r="H32" s="108">
        <f>H31</f>
        <v>627.92</v>
      </c>
      <c r="I32" s="106">
        <v>100036.0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28" t="s">
        <v>63</v>
      </c>
      <c r="D35" s="171" t="s">
        <v>379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101" t="s">
        <v>57</v>
      </c>
      <c r="D36" s="102" t="s">
        <v>167</v>
      </c>
      <c r="E36" s="30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92" t="s">
        <v>0</v>
      </c>
      <c r="B37" s="92" t="s">
        <v>1</v>
      </c>
      <c r="C37" s="92" t="s">
        <v>2</v>
      </c>
      <c r="D37" s="92" t="s">
        <v>3</v>
      </c>
      <c r="E37" s="152"/>
      <c r="F37" s="92" t="s">
        <v>5</v>
      </c>
      <c r="G37" s="92" t="s">
        <v>6</v>
      </c>
      <c r="H37" s="92" t="s">
        <v>7</v>
      </c>
      <c r="I37" s="9" t="s">
        <v>8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10"/>
      <c r="B38" s="106" t="s">
        <v>66</v>
      </c>
      <c r="C38" s="106" t="s">
        <v>10</v>
      </c>
      <c r="D38" s="106" t="s">
        <v>345</v>
      </c>
      <c r="E38" s="106" t="s">
        <v>18</v>
      </c>
      <c r="F38" s="106" t="s">
        <v>19</v>
      </c>
      <c r="G38" s="106" t="s">
        <v>69</v>
      </c>
      <c r="H38" s="108">
        <f>Q13</f>
        <v>648.85</v>
      </c>
      <c r="I38" s="106">
        <v>300009.0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10"/>
      <c r="B39" s="106" t="s">
        <v>66</v>
      </c>
      <c r="C39" s="106" t="s">
        <v>10</v>
      </c>
      <c r="D39" s="106" t="s">
        <v>346</v>
      </c>
      <c r="E39" s="106" t="s">
        <v>12</v>
      </c>
      <c r="F39" s="106" t="s">
        <v>13</v>
      </c>
      <c r="G39" s="106" t="s">
        <v>69</v>
      </c>
      <c r="H39" s="108">
        <f>H38</f>
        <v>648.85</v>
      </c>
      <c r="I39" s="106">
        <v>100036.0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28" t="s">
        <v>63</v>
      </c>
      <c r="D41" s="171" t="s">
        <v>379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101" t="s">
        <v>57</v>
      </c>
      <c r="D42" s="102" t="s">
        <v>167</v>
      </c>
      <c r="E42" s="30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92" t="s">
        <v>0</v>
      </c>
      <c r="B43" s="92" t="s">
        <v>1</v>
      </c>
      <c r="C43" s="92" t="s">
        <v>2</v>
      </c>
      <c r="D43" s="92" t="s">
        <v>3</v>
      </c>
      <c r="E43" s="152"/>
      <c r="F43" s="92" t="s">
        <v>5</v>
      </c>
      <c r="G43" s="92" t="s">
        <v>6</v>
      </c>
      <c r="H43" s="92" t="s">
        <v>7</v>
      </c>
      <c r="I43" s="9" t="s">
        <v>8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10"/>
      <c r="B44" s="106" t="s">
        <v>66</v>
      </c>
      <c r="C44" s="106" t="s">
        <v>10</v>
      </c>
      <c r="D44" s="106" t="s">
        <v>345</v>
      </c>
      <c r="E44" s="106" t="s">
        <v>18</v>
      </c>
      <c r="F44" s="106" t="s">
        <v>19</v>
      </c>
      <c r="G44" s="106" t="s">
        <v>69</v>
      </c>
      <c r="H44" s="108">
        <f>P14</f>
        <v>627.92</v>
      </c>
      <c r="I44" s="106">
        <v>300009.0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10"/>
      <c r="B45" s="106" t="s">
        <v>66</v>
      </c>
      <c r="C45" s="106" t="s">
        <v>10</v>
      </c>
      <c r="D45" s="106" t="s">
        <v>346</v>
      </c>
      <c r="E45" s="106" t="s">
        <v>12</v>
      </c>
      <c r="F45" s="106" t="s">
        <v>13</v>
      </c>
      <c r="G45" s="106" t="s">
        <v>69</v>
      </c>
      <c r="H45" s="108">
        <f>H44</f>
        <v>627.92</v>
      </c>
      <c r="I45" s="106">
        <v>100036.0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28" t="s">
        <v>63</v>
      </c>
      <c r="D48" s="171" t="s">
        <v>379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101" t="s">
        <v>57</v>
      </c>
      <c r="D49" s="102" t="s">
        <v>167</v>
      </c>
      <c r="E49" s="30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92" t="s">
        <v>0</v>
      </c>
      <c r="B50" s="92" t="s">
        <v>1</v>
      </c>
      <c r="C50" s="92" t="s">
        <v>2</v>
      </c>
      <c r="D50" s="92" t="s">
        <v>3</v>
      </c>
      <c r="E50" s="152"/>
      <c r="F50" s="92" t="s">
        <v>5</v>
      </c>
      <c r="G50" s="92" t="s">
        <v>6</v>
      </c>
      <c r="H50" s="92" t="s">
        <v>7</v>
      </c>
      <c r="I50" s="9" t="s">
        <v>8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10"/>
      <c r="B51" s="106" t="s">
        <v>66</v>
      </c>
      <c r="C51" s="106" t="s">
        <v>10</v>
      </c>
      <c r="D51" s="106" t="s">
        <v>345</v>
      </c>
      <c r="E51" s="106" t="s">
        <v>18</v>
      </c>
      <c r="F51" s="106" t="s">
        <v>19</v>
      </c>
      <c r="G51" s="106" t="s">
        <v>69</v>
      </c>
      <c r="H51" s="108">
        <f>Q15</f>
        <v>648.85</v>
      </c>
      <c r="I51" s="106">
        <v>300009.0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10"/>
      <c r="B52" s="106" t="s">
        <v>66</v>
      </c>
      <c r="C52" s="106" t="s">
        <v>10</v>
      </c>
      <c r="D52" s="106" t="s">
        <v>346</v>
      </c>
      <c r="E52" s="106" t="s">
        <v>12</v>
      </c>
      <c r="F52" s="106" t="s">
        <v>13</v>
      </c>
      <c r="G52" s="106" t="s">
        <v>69</v>
      </c>
      <c r="H52" s="108">
        <f>H51</f>
        <v>648.85</v>
      </c>
      <c r="I52" s="106">
        <v>100036.0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28" t="s">
        <v>63</v>
      </c>
      <c r="D54" s="171" t="s">
        <v>379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101" t="s">
        <v>57</v>
      </c>
      <c r="D55" s="102" t="s">
        <v>167</v>
      </c>
      <c r="E55" s="30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92" t="s">
        <v>0</v>
      </c>
      <c r="B56" s="92" t="s">
        <v>1</v>
      </c>
      <c r="C56" s="92" t="s">
        <v>2</v>
      </c>
      <c r="D56" s="92" t="s">
        <v>3</v>
      </c>
      <c r="E56" s="152"/>
      <c r="F56" s="92" t="s">
        <v>5</v>
      </c>
      <c r="G56" s="92" t="s">
        <v>6</v>
      </c>
      <c r="H56" s="92" t="s">
        <v>7</v>
      </c>
      <c r="I56" s="9" t="s">
        <v>8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10"/>
      <c r="B57" s="106" t="s">
        <v>66</v>
      </c>
      <c r="C57" s="106" t="s">
        <v>10</v>
      </c>
      <c r="D57" s="106" t="s">
        <v>345</v>
      </c>
      <c r="E57" s="106" t="s">
        <v>18</v>
      </c>
      <c r="F57" s="106" t="s">
        <v>19</v>
      </c>
      <c r="G57" s="106" t="s">
        <v>69</v>
      </c>
      <c r="H57" s="108">
        <f>P16</f>
        <v>272.1</v>
      </c>
      <c r="I57" s="106">
        <v>300009.0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10"/>
      <c r="B58" s="106" t="s">
        <v>66</v>
      </c>
      <c r="C58" s="106" t="s">
        <v>10</v>
      </c>
      <c r="D58" s="106" t="s">
        <v>346</v>
      </c>
      <c r="E58" s="106" t="s">
        <v>12</v>
      </c>
      <c r="F58" s="106" t="s">
        <v>13</v>
      </c>
      <c r="G58" s="106" t="s">
        <v>69</v>
      </c>
      <c r="H58" s="108">
        <f>H57</f>
        <v>272.1</v>
      </c>
      <c r="I58" s="106">
        <v>100036.0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3" t="s">
        <v>380</v>
      </c>
      <c r="B60" s="7"/>
      <c r="C60" s="101" t="s">
        <v>57</v>
      </c>
      <c r="D60" s="102" t="s">
        <v>86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92" t="s">
        <v>0</v>
      </c>
      <c r="B61" s="92" t="s">
        <v>1</v>
      </c>
      <c r="C61" s="92" t="s">
        <v>2</v>
      </c>
      <c r="D61" s="92" t="s">
        <v>3</v>
      </c>
      <c r="E61" s="152"/>
      <c r="F61" s="92" t="s">
        <v>5</v>
      </c>
      <c r="G61" s="92" t="s">
        <v>6</v>
      </c>
      <c r="H61" s="92" t="s">
        <v>7</v>
      </c>
      <c r="I61" s="9" t="s">
        <v>8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10"/>
      <c r="B62" s="106" t="s">
        <v>52</v>
      </c>
      <c r="C62" s="106" t="s">
        <v>10</v>
      </c>
      <c r="D62" s="106" t="s">
        <v>79</v>
      </c>
      <c r="E62" s="106" t="s">
        <v>12</v>
      </c>
      <c r="F62" s="106" t="s">
        <v>13</v>
      </c>
      <c r="G62" s="106" t="s">
        <v>90</v>
      </c>
      <c r="H62" s="108">
        <f>H63+H64</f>
        <v>9073.395833</v>
      </c>
      <c r="I62" s="106">
        <v>100062.0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10"/>
      <c r="B63" s="106" t="s">
        <v>52</v>
      </c>
      <c r="C63" s="106" t="s">
        <v>10</v>
      </c>
      <c r="D63" s="106" t="s">
        <v>348</v>
      </c>
      <c r="E63" s="106" t="s">
        <v>12</v>
      </c>
      <c r="F63" s="106" t="s">
        <v>19</v>
      </c>
      <c r="G63" s="110"/>
      <c r="H63" s="108">
        <f>T8</f>
        <v>8539.666667</v>
      </c>
      <c r="I63" s="106">
        <v>100033.0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10"/>
      <c r="B64" s="106" t="s">
        <v>52</v>
      </c>
      <c r="C64" s="106" t="s">
        <v>10</v>
      </c>
      <c r="D64" s="106" t="s">
        <v>346</v>
      </c>
      <c r="E64" s="106" t="s">
        <v>12</v>
      </c>
      <c r="F64" s="106" t="s">
        <v>19</v>
      </c>
      <c r="G64" s="110"/>
      <c r="H64" s="108">
        <f>W8</f>
        <v>533.7291667</v>
      </c>
      <c r="I64" s="106">
        <v>100036.0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8" t="s">
        <v>140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3" t="s">
        <v>381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101" t="s">
        <v>57</v>
      </c>
      <c r="D68" s="102" t="s">
        <v>86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92" t="s">
        <v>0</v>
      </c>
      <c r="B69" s="92" t="s">
        <v>1</v>
      </c>
      <c r="C69" s="92" t="s">
        <v>2</v>
      </c>
      <c r="D69" s="92" t="s">
        <v>3</v>
      </c>
      <c r="E69" s="152"/>
      <c r="F69" s="92" t="s">
        <v>5</v>
      </c>
      <c r="G69" s="92" t="s">
        <v>6</v>
      </c>
      <c r="H69" s="92" t="s">
        <v>7</v>
      </c>
      <c r="I69" s="9" t="s">
        <v>8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10"/>
      <c r="B70" s="106" t="s">
        <v>52</v>
      </c>
      <c r="C70" s="106" t="s">
        <v>10</v>
      </c>
      <c r="D70" s="106" t="s">
        <v>79</v>
      </c>
      <c r="E70" s="106" t="s">
        <v>12</v>
      </c>
      <c r="F70" s="106" t="s">
        <v>13</v>
      </c>
      <c r="G70" s="106" t="s">
        <v>90</v>
      </c>
      <c r="H70" s="108">
        <f>H71+H72</f>
        <v>8539.67</v>
      </c>
      <c r="I70" s="106">
        <v>100062.0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10"/>
      <c r="B71" s="106" t="s">
        <v>52</v>
      </c>
      <c r="C71" s="106" t="s">
        <v>10</v>
      </c>
      <c r="D71" s="106" t="s">
        <v>348</v>
      </c>
      <c r="E71" s="106" t="s">
        <v>12</v>
      </c>
      <c r="F71" s="106" t="s">
        <v>19</v>
      </c>
      <c r="G71" s="110"/>
      <c r="H71" s="108">
        <f>O26</f>
        <v>8539.67</v>
      </c>
      <c r="I71" s="106">
        <v>100033.0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10"/>
      <c r="B72" s="106" t="s">
        <v>52</v>
      </c>
      <c r="C72" s="106" t="s">
        <v>10</v>
      </c>
      <c r="D72" s="106" t="s">
        <v>346</v>
      </c>
      <c r="E72" s="106" t="s">
        <v>12</v>
      </c>
      <c r="F72" s="106" t="s">
        <v>19</v>
      </c>
      <c r="G72" s="110"/>
      <c r="H72" s="108">
        <v>0.0</v>
      </c>
      <c r="I72" s="106">
        <v>100036.0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28" t="s">
        <v>63</v>
      </c>
      <c r="D75" s="171" t="s">
        <v>379</v>
      </c>
      <c r="E75" s="171" t="s">
        <v>382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101" t="s">
        <v>57</v>
      </c>
      <c r="D76" s="102" t="s">
        <v>167</v>
      </c>
      <c r="E76" s="30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92" t="s">
        <v>0</v>
      </c>
      <c r="B77" s="92" t="s">
        <v>1</v>
      </c>
      <c r="C77" s="92" t="s">
        <v>2</v>
      </c>
      <c r="D77" s="92" t="s">
        <v>3</v>
      </c>
      <c r="E77" s="152"/>
      <c r="F77" s="92" t="s">
        <v>5</v>
      </c>
      <c r="G77" s="92" t="s">
        <v>6</v>
      </c>
      <c r="H77" s="92" t="s">
        <v>7</v>
      </c>
      <c r="I77" s="9" t="s">
        <v>8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10"/>
      <c r="B78" s="106" t="s">
        <v>66</v>
      </c>
      <c r="C78" s="106" t="s">
        <v>10</v>
      </c>
      <c r="D78" s="106" t="s">
        <v>345</v>
      </c>
      <c r="E78" s="106" t="s">
        <v>18</v>
      </c>
      <c r="F78" s="106" t="s">
        <v>13</v>
      </c>
      <c r="G78" s="106" t="s">
        <v>69</v>
      </c>
      <c r="H78" s="108">
        <f>P26-P16</f>
        <v>261.63</v>
      </c>
      <c r="I78" s="106">
        <v>300009.0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10"/>
      <c r="B79" s="106" t="s">
        <v>66</v>
      </c>
      <c r="C79" s="106" t="s">
        <v>10</v>
      </c>
      <c r="D79" s="106" t="s">
        <v>346</v>
      </c>
      <c r="E79" s="106" t="s">
        <v>12</v>
      </c>
      <c r="F79" s="106" t="s">
        <v>19</v>
      </c>
      <c r="G79" s="106" t="s">
        <v>69</v>
      </c>
      <c r="H79" s="108">
        <f>H78</f>
        <v>261.63</v>
      </c>
      <c r="I79" s="106">
        <v>100036.0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8" t="s">
        <v>353</v>
      </c>
      <c r="B81" s="8" t="s">
        <v>383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101" t="s">
        <v>57</v>
      </c>
      <c r="D82" s="102" t="s">
        <v>86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92" t="s">
        <v>0</v>
      </c>
      <c r="B83" s="92" t="s">
        <v>1</v>
      </c>
      <c r="C83" s="92" t="s">
        <v>2</v>
      </c>
      <c r="D83" s="92" t="s">
        <v>3</v>
      </c>
      <c r="E83" s="152"/>
      <c r="F83" s="92" t="s">
        <v>5</v>
      </c>
      <c r="G83" s="92" t="s">
        <v>6</v>
      </c>
      <c r="H83" s="92" t="s">
        <v>7</v>
      </c>
      <c r="I83" s="9" t="s">
        <v>8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110"/>
      <c r="B84" s="106" t="s">
        <v>52</v>
      </c>
      <c r="C84" s="106" t="s">
        <v>10</v>
      </c>
      <c r="D84" s="106" t="s">
        <v>79</v>
      </c>
      <c r="E84" s="106" t="s">
        <v>12</v>
      </c>
      <c r="F84" s="106" t="s">
        <v>13</v>
      </c>
      <c r="G84" s="106" t="s">
        <v>90</v>
      </c>
      <c r="H84" s="108">
        <f>H85+H86+H87</f>
        <v>10140.85833</v>
      </c>
      <c r="I84" s="106">
        <v>100062.0</v>
      </c>
      <c r="J84" s="7"/>
      <c r="K84" s="116">
        <f>H84</f>
        <v>10140.85833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110"/>
      <c r="B85" s="106" t="s">
        <v>52</v>
      </c>
      <c r="C85" s="106" t="s">
        <v>10</v>
      </c>
      <c r="D85" s="106" t="s">
        <v>348</v>
      </c>
      <c r="E85" s="106" t="s">
        <v>12</v>
      </c>
      <c r="F85" s="106" t="s">
        <v>19</v>
      </c>
      <c r="G85" s="110"/>
      <c r="H85" s="108">
        <f>O26</f>
        <v>8539.67</v>
      </c>
      <c r="I85" s="106">
        <v>100033.0</v>
      </c>
      <c r="J85" s="7"/>
      <c r="K85" s="116">
        <f>H87</f>
        <v>1067.458333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110"/>
      <c r="B86" s="106" t="s">
        <v>52</v>
      </c>
      <c r="C86" s="106" t="s">
        <v>10</v>
      </c>
      <c r="D86" s="106" t="s">
        <v>346</v>
      </c>
      <c r="E86" s="106" t="s">
        <v>12</v>
      </c>
      <c r="F86" s="106" t="s">
        <v>19</v>
      </c>
      <c r="G86" s="110"/>
      <c r="H86" s="108">
        <f>P26</f>
        <v>533.73</v>
      </c>
      <c r="I86" s="106">
        <v>100036.0</v>
      </c>
      <c r="J86" s="7"/>
      <c r="K86" s="7"/>
      <c r="L86" s="186">
        <f>H85</f>
        <v>8539.67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10"/>
      <c r="B87" s="106" t="s">
        <v>52</v>
      </c>
      <c r="C87" s="106" t="s">
        <v>10</v>
      </c>
      <c r="D87" s="106" t="s">
        <v>345</v>
      </c>
      <c r="E87" s="106" t="s">
        <v>18</v>
      </c>
      <c r="F87" s="106" t="s">
        <v>19</v>
      </c>
      <c r="G87" s="106" t="s">
        <v>69</v>
      </c>
      <c r="H87" s="108">
        <f>(R8-T8)*30%/12*1</f>
        <v>1067.458333</v>
      </c>
      <c r="I87" s="106">
        <v>300009.0</v>
      </c>
      <c r="J87" s="7"/>
      <c r="K87" s="7"/>
      <c r="L87" s="116">
        <f>H86+K85</f>
        <v>1601.188333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116">
        <f>H87</f>
        <v>1067.458333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28" t="s">
        <v>63</v>
      </c>
      <c r="D90" s="171" t="s">
        <v>379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101" t="s">
        <v>57</v>
      </c>
      <c r="D91" s="102" t="s">
        <v>167</v>
      </c>
      <c r="E91" s="30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92" t="s">
        <v>0</v>
      </c>
      <c r="B92" s="92" t="s">
        <v>1</v>
      </c>
      <c r="C92" s="92" t="s">
        <v>2</v>
      </c>
      <c r="D92" s="92" t="s">
        <v>3</v>
      </c>
      <c r="E92" s="152"/>
      <c r="F92" s="92" t="s">
        <v>5</v>
      </c>
      <c r="G92" s="92" t="s">
        <v>6</v>
      </c>
      <c r="H92" s="92" t="s">
        <v>7</v>
      </c>
      <c r="I92" s="9" t="s">
        <v>8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110"/>
      <c r="B93" s="106" t="s">
        <v>66</v>
      </c>
      <c r="C93" s="106" t="s">
        <v>10</v>
      </c>
      <c r="D93" s="106" t="s">
        <v>345</v>
      </c>
      <c r="E93" s="106" t="s">
        <v>18</v>
      </c>
      <c r="F93" s="106" t="s">
        <v>19</v>
      </c>
      <c r="G93" s="106" t="s">
        <v>69</v>
      </c>
      <c r="H93" s="108">
        <f>P16</f>
        <v>272.1</v>
      </c>
      <c r="I93" s="106">
        <v>300009.0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110"/>
      <c r="B94" s="106" t="s">
        <v>66</v>
      </c>
      <c r="C94" s="106" t="s">
        <v>10</v>
      </c>
      <c r="D94" s="106" t="s">
        <v>346</v>
      </c>
      <c r="E94" s="106" t="s">
        <v>12</v>
      </c>
      <c r="F94" s="106" t="s">
        <v>13</v>
      </c>
      <c r="G94" s="106" t="s">
        <v>69</v>
      </c>
      <c r="H94" s="108">
        <f>H93</f>
        <v>272.1</v>
      </c>
      <c r="I94" s="106">
        <v>100036.0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8" t="s">
        <v>231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101" t="s">
        <v>57</v>
      </c>
      <c r="D97" s="102" t="s">
        <v>86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92" t="s">
        <v>0</v>
      </c>
      <c r="B98" s="92" t="s">
        <v>1</v>
      </c>
      <c r="C98" s="92" t="s">
        <v>2</v>
      </c>
      <c r="D98" s="92" t="s">
        <v>3</v>
      </c>
      <c r="E98" s="152"/>
      <c r="F98" s="92" t="s">
        <v>5</v>
      </c>
      <c r="G98" s="92" t="s">
        <v>6</v>
      </c>
      <c r="H98" s="92" t="s">
        <v>7</v>
      </c>
      <c r="I98" s="9" t="s">
        <v>8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10"/>
      <c r="B99" s="106" t="s">
        <v>52</v>
      </c>
      <c r="C99" s="106" t="s">
        <v>10</v>
      </c>
      <c r="D99" s="106" t="s">
        <v>155</v>
      </c>
      <c r="E99" s="106" t="s">
        <v>156</v>
      </c>
      <c r="F99" s="106" t="s">
        <v>13</v>
      </c>
      <c r="G99" s="106" t="s">
        <v>156</v>
      </c>
      <c r="H99" s="108">
        <f>H100+H101</f>
        <v>9073.4</v>
      </c>
      <c r="I99" s="106">
        <v>400041.0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10"/>
      <c r="B100" s="106" t="s">
        <v>52</v>
      </c>
      <c r="C100" s="106" t="s">
        <v>10</v>
      </c>
      <c r="D100" s="106" t="s">
        <v>348</v>
      </c>
      <c r="E100" s="106" t="s">
        <v>12</v>
      </c>
      <c r="F100" s="106" t="s">
        <v>19</v>
      </c>
      <c r="G100" s="110"/>
      <c r="H100" s="108">
        <f>O26</f>
        <v>8539.67</v>
      </c>
      <c r="I100" s="106">
        <v>100033.0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10"/>
      <c r="B101" s="106" t="s">
        <v>52</v>
      </c>
      <c r="C101" s="106" t="s">
        <v>10</v>
      </c>
      <c r="D101" s="106" t="s">
        <v>346</v>
      </c>
      <c r="E101" s="106" t="s">
        <v>12</v>
      </c>
      <c r="F101" s="106" t="s">
        <v>19</v>
      </c>
      <c r="G101" s="110"/>
      <c r="H101" s="108">
        <f>P26</f>
        <v>533.73</v>
      </c>
      <c r="I101" s="106">
        <v>100036.0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8" t="s">
        <v>157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101" t="s">
        <v>57</v>
      </c>
      <c r="D105" s="102" t="s">
        <v>86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92" t="s">
        <v>0</v>
      </c>
      <c r="B106" s="92" t="s">
        <v>1</v>
      </c>
      <c r="C106" s="92" t="s">
        <v>2</v>
      </c>
      <c r="D106" s="92" t="s">
        <v>3</v>
      </c>
      <c r="E106" s="152"/>
      <c r="F106" s="92" t="s">
        <v>5</v>
      </c>
      <c r="G106" s="92" t="s">
        <v>6</v>
      </c>
      <c r="H106" s="92" t="s">
        <v>7</v>
      </c>
      <c r="I106" s="9" t="s">
        <v>8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110"/>
      <c r="B107" s="106" t="s">
        <v>52</v>
      </c>
      <c r="C107" s="106" t="s">
        <v>10</v>
      </c>
      <c r="D107" s="106" t="s">
        <v>155</v>
      </c>
      <c r="E107" s="106" t="s">
        <v>156</v>
      </c>
      <c r="F107" s="106" t="s">
        <v>13</v>
      </c>
      <c r="G107" s="106" t="s">
        <v>156</v>
      </c>
      <c r="H107" s="108">
        <f>H108/2</f>
        <v>4269.835</v>
      </c>
      <c r="I107" s="106">
        <v>400041.0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110"/>
      <c r="B108" s="106" t="s">
        <v>52</v>
      </c>
      <c r="C108" s="106" t="s">
        <v>10</v>
      </c>
      <c r="D108" s="106" t="s">
        <v>348</v>
      </c>
      <c r="E108" s="106" t="s">
        <v>12</v>
      </c>
      <c r="F108" s="106" t="s">
        <v>19</v>
      </c>
      <c r="G108" s="110"/>
      <c r="H108" s="108">
        <f>O26</f>
        <v>8539.67</v>
      </c>
      <c r="I108" s="106">
        <v>100033.0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110"/>
      <c r="B109" s="106" t="s">
        <v>52</v>
      </c>
      <c r="C109" s="106" t="s">
        <v>10</v>
      </c>
      <c r="D109" s="106" t="s">
        <v>346</v>
      </c>
      <c r="E109" s="106" t="s">
        <v>12</v>
      </c>
      <c r="F109" s="106" t="s">
        <v>19</v>
      </c>
      <c r="G109" s="110"/>
      <c r="H109" s="108">
        <f>P26</f>
        <v>533.73</v>
      </c>
      <c r="I109" s="106">
        <v>100036.0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110"/>
      <c r="B110" s="106" t="s">
        <v>52</v>
      </c>
      <c r="C110" s="106" t="s">
        <v>10</v>
      </c>
      <c r="D110" s="106" t="s">
        <v>79</v>
      </c>
      <c r="E110" s="106" t="s">
        <v>12</v>
      </c>
      <c r="F110" s="106" t="s">
        <v>13</v>
      </c>
      <c r="G110" s="106" t="s">
        <v>90</v>
      </c>
      <c r="H110" s="108">
        <f>H108/2+H109</f>
        <v>4803.565</v>
      </c>
      <c r="I110" s="106">
        <v>100062.0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</sheetData>
  <mergeCells count="7">
    <mergeCell ref="A2:C2"/>
    <mergeCell ref="F16:G16"/>
    <mergeCell ref="D60:E60"/>
    <mergeCell ref="D68:E68"/>
    <mergeCell ref="D82:E82"/>
    <mergeCell ref="D97:E97"/>
    <mergeCell ref="D105:E10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5" max="5" width="56.63"/>
    <col customWidth="1" min="11" max="11" width="19.75"/>
    <col customWidth="1" min="14" max="14" width="18.25"/>
    <col customWidth="1" min="18" max="18" width="16.75"/>
  </cols>
  <sheetData>
    <row r="1" ht="17.25" customHeight="1">
      <c r="A1" s="7"/>
      <c r="B1" s="8" t="s">
        <v>39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17.25" customHeight="1">
      <c r="A2" s="9" t="s">
        <v>40</v>
      </c>
      <c r="B2" s="9" t="s">
        <v>1</v>
      </c>
      <c r="C2" s="9" t="s">
        <v>41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10" t="s">
        <v>8</v>
      </c>
      <c r="K2" s="11" t="s">
        <v>42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7.25" customHeight="1">
      <c r="A3" s="12">
        <v>1.0</v>
      </c>
      <c r="B3" s="13" t="s">
        <v>9</v>
      </c>
      <c r="C3" s="14" t="s">
        <v>43</v>
      </c>
      <c r="D3" s="14" t="s">
        <v>10</v>
      </c>
      <c r="E3" s="15" t="s">
        <v>44</v>
      </c>
      <c r="F3" s="14" t="s">
        <v>45</v>
      </c>
      <c r="G3" s="14" t="s">
        <v>13</v>
      </c>
      <c r="H3" s="14" t="s">
        <v>14</v>
      </c>
      <c r="I3" s="16">
        <v>100000.0</v>
      </c>
      <c r="J3" s="121">
        <v>100031.0</v>
      </c>
      <c r="K3" s="17">
        <v>100003.0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17.25" customHeight="1">
      <c r="A4" s="12">
        <v>1.0</v>
      </c>
      <c r="B4" s="14" t="s">
        <v>9</v>
      </c>
      <c r="C4" s="13" t="s">
        <v>43</v>
      </c>
      <c r="D4" s="14" t="s">
        <v>10</v>
      </c>
      <c r="E4" s="14" t="s">
        <v>46</v>
      </c>
      <c r="F4" s="14" t="s">
        <v>18</v>
      </c>
      <c r="G4" s="14" t="s">
        <v>19</v>
      </c>
      <c r="H4" s="14" t="s">
        <v>47</v>
      </c>
      <c r="I4" s="16">
        <f>0.01*I3</f>
        <v>1000</v>
      </c>
      <c r="J4" s="121">
        <v>300004.0</v>
      </c>
      <c r="K4" s="17">
        <v>100003.0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17.25" customHeight="1">
      <c r="A5" s="12">
        <v>1.0</v>
      </c>
      <c r="B5" s="14" t="s">
        <v>9</v>
      </c>
      <c r="C5" s="13" t="s">
        <v>43</v>
      </c>
      <c r="D5" s="14" t="s">
        <v>10</v>
      </c>
      <c r="E5" s="15" t="s">
        <v>36</v>
      </c>
      <c r="F5" s="14" t="s">
        <v>22</v>
      </c>
      <c r="G5" s="14" t="s">
        <v>19</v>
      </c>
      <c r="H5" s="14" t="s">
        <v>48</v>
      </c>
      <c r="I5" s="16">
        <f>0.05*I4</f>
        <v>50</v>
      </c>
      <c r="J5" s="121">
        <v>200065.0</v>
      </c>
      <c r="K5" s="17">
        <v>100003.0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17.25" customHeight="1">
      <c r="A6" s="12">
        <v>1.0</v>
      </c>
      <c r="B6" s="14" t="s">
        <v>9</v>
      </c>
      <c r="C6" s="13" t="s">
        <v>43</v>
      </c>
      <c r="D6" s="14" t="s">
        <v>10</v>
      </c>
      <c r="E6" s="15" t="s">
        <v>49</v>
      </c>
      <c r="F6" s="14" t="s">
        <v>22</v>
      </c>
      <c r="G6" s="14" t="s">
        <v>19</v>
      </c>
      <c r="H6" s="14" t="s">
        <v>23</v>
      </c>
      <c r="I6" s="16">
        <f>+I3-I4-I5</f>
        <v>98950</v>
      </c>
      <c r="J6" s="121">
        <v>200040.0</v>
      </c>
      <c r="K6" s="17">
        <v>100003.0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17.25" customHeight="1">
      <c r="A7" s="7"/>
      <c r="B7" s="7"/>
      <c r="C7" s="18"/>
      <c r="D7" s="7"/>
      <c r="E7" s="7"/>
      <c r="F7" s="7"/>
      <c r="G7" s="7"/>
      <c r="H7" s="7"/>
      <c r="I7" s="19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17.25" customHeight="1">
      <c r="A8" s="7" t="s">
        <v>50</v>
      </c>
      <c r="B8" s="8" t="s">
        <v>51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17.25" customHeight="1">
      <c r="A9" s="9" t="s">
        <v>40</v>
      </c>
      <c r="B9" s="9" t="s">
        <v>1</v>
      </c>
      <c r="C9" s="9" t="s">
        <v>41</v>
      </c>
      <c r="D9" s="9" t="s">
        <v>2</v>
      </c>
      <c r="E9" s="9" t="s">
        <v>3</v>
      </c>
      <c r="F9" s="20"/>
      <c r="G9" s="9" t="s">
        <v>5</v>
      </c>
      <c r="H9" s="9" t="s">
        <v>6</v>
      </c>
      <c r="I9" s="9" t="s">
        <v>7</v>
      </c>
      <c r="J9" s="10" t="s">
        <v>8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17.25" customHeight="1">
      <c r="A10" s="21">
        <v>1.1</v>
      </c>
      <c r="B10" s="22" t="s">
        <v>52</v>
      </c>
      <c r="C10" s="23" t="s">
        <v>43</v>
      </c>
      <c r="D10" s="22" t="s">
        <v>10</v>
      </c>
      <c r="E10" s="22" t="s">
        <v>53</v>
      </c>
      <c r="F10" s="22" t="s">
        <v>12</v>
      </c>
      <c r="G10" s="22" t="s">
        <v>13</v>
      </c>
      <c r="H10" s="24"/>
      <c r="I10" s="25">
        <v>10000.0</v>
      </c>
      <c r="J10" s="121">
        <v>100006.0</v>
      </c>
      <c r="K10" s="26">
        <v>100006.0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ht="17.25" customHeight="1">
      <c r="A11" s="12">
        <v>1.1</v>
      </c>
      <c r="B11" s="14" t="s">
        <v>52</v>
      </c>
      <c r="C11" s="7"/>
      <c r="D11" s="14" t="s">
        <v>10</v>
      </c>
      <c r="E11" s="15" t="s">
        <v>54</v>
      </c>
      <c r="F11" s="14" t="s">
        <v>55</v>
      </c>
      <c r="G11" s="14" t="s">
        <v>19</v>
      </c>
      <c r="H11" s="27"/>
      <c r="I11" s="16">
        <v>10000.0</v>
      </c>
      <c r="J11" s="121">
        <v>210002.0</v>
      </c>
      <c r="K11" s="26">
        <v>100006.0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7.25" customHeight="1">
      <c r="A12" s="7"/>
      <c r="B12" s="7"/>
      <c r="C12" s="18"/>
      <c r="D12" s="28"/>
      <c r="E12" s="29"/>
      <c r="F12" s="7"/>
      <c r="G12" s="7"/>
      <c r="H12" s="7"/>
      <c r="I12" s="19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7.25" customHeight="1">
      <c r="A13" s="7"/>
      <c r="B13" s="7"/>
      <c r="C13" s="18"/>
      <c r="D13" s="28" t="s">
        <v>39</v>
      </c>
      <c r="E13" s="29" t="s">
        <v>56</v>
      </c>
      <c r="F13" s="7"/>
      <c r="G13" s="7"/>
      <c r="H13" s="7"/>
      <c r="I13" s="1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7.25" customHeight="1">
      <c r="A14" s="7"/>
      <c r="B14" s="7"/>
      <c r="C14" s="30"/>
      <c r="D14" s="31" t="s">
        <v>57</v>
      </c>
      <c r="E14" s="32" t="s">
        <v>58</v>
      </c>
      <c r="F14" s="33"/>
      <c r="G14" s="34" t="s">
        <v>59</v>
      </c>
      <c r="H14" s="7"/>
      <c r="I14" s="7"/>
      <c r="J14" s="10" t="s">
        <v>8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7.25" customHeight="1">
      <c r="A15" s="12">
        <v>2.0</v>
      </c>
      <c r="B15" s="14" t="s">
        <v>9</v>
      </c>
      <c r="C15" s="14" t="s">
        <v>43</v>
      </c>
      <c r="D15" s="14" t="s">
        <v>10</v>
      </c>
      <c r="E15" s="15" t="s">
        <v>49</v>
      </c>
      <c r="F15" s="14" t="s">
        <v>22</v>
      </c>
      <c r="G15" s="14" t="s">
        <v>13</v>
      </c>
      <c r="H15" s="14" t="s">
        <v>23</v>
      </c>
      <c r="I15" s="16">
        <f>I6</f>
        <v>98950</v>
      </c>
      <c r="J15" s="121">
        <v>200040.0</v>
      </c>
      <c r="K15" s="17">
        <v>100003.0</v>
      </c>
      <c r="L15" s="11" t="s">
        <v>384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17.25" customHeight="1">
      <c r="A16" s="12">
        <v>2.0</v>
      </c>
      <c r="B16" s="14" t="s">
        <v>9</v>
      </c>
      <c r="C16" s="14" t="s">
        <v>43</v>
      </c>
      <c r="D16" s="14" t="s">
        <v>10</v>
      </c>
      <c r="E16" s="15" t="s">
        <v>60</v>
      </c>
      <c r="F16" s="14" t="s">
        <v>61</v>
      </c>
      <c r="G16" s="14" t="s">
        <v>19</v>
      </c>
      <c r="H16" s="14" t="s">
        <v>62</v>
      </c>
      <c r="I16" s="16">
        <f>I15</f>
        <v>98950</v>
      </c>
      <c r="J16" s="121">
        <v>100003.0</v>
      </c>
      <c r="K16" s="17">
        <v>100003.0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17.25" customHeight="1">
      <c r="A17" s="7"/>
      <c r="B17" s="7"/>
      <c r="C17" s="18"/>
      <c r="D17" s="7"/>
      <c r="E17" s="7"/>
      <c r="F17" s="7"/>
      <c r="G17" s="7"/>
      <c r="H17" s="7"/>
      <c r="I17" s="1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17.25" customHeight="1">
      <c r="A18" s="7"/>
      <c r="B18" s="7"/>
      <c r="C18" s="18"/>
      <c r="D18" s="28" t="s">
        <v>63</v>
      </c>
      <c r="E18" s="29" t="s">
        <v>64</v>
      </c>
      <c r="F18" s="7"/>
      <c r="G18" s="7"/>
      <c r="H18" s="7"/>
      <c r="I18" s="1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7.25" customHeight="1">
      <c r="A19" s="7"/>
      <c r="B19" s="7"/>
      <c r="C19" s="30"/>
      <c r="D19" s="31" t="s">
        <v>57</v>
      </c>
      <c r="E19" s="32" t="s">
        <v>65</v>
      </c>
      <c r="F19" s="33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7.25" customHeight="1">
      <c r="A20" s="9" t="s">
        <v>40</v>
      </c>
      <c r="B20" s="9" t="s">
        <v>1</v>
      </c>
      <c r="C20" s="9" t="s">
        <v>41</v>
      </c>
      <c r="D20" s="9" t="s">
        <v>2</v>
      </c>
      <c r="E20" s="9" t="s">
        <v>3</v>
      </c>
      <c r="F20" s="20"/>
      <c r="G20" s="9" t="s">
        <v>5</v>
      </c>
      <c r="H20" s="9" t="s">
        <v>6</v>
      </c>
      <c r="I20" s="9" t="s">
        <v>7</v>
      </c>
      <c r="J20" s="10" t="s">
        <v>8</v>
      </c>
      <c r="K20" s="7"/>
      <c r="L20" s="11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7.25" customHeight="1">
      <c r="A21" s="12">
        <v>3.0</v>
      </c>
      <c r="B21" s="14" t="s">
        <v>52</v>
      </c>
      <c r="C21" s="14" t="s">
        <v>43</v>
      </c>
      <c r="D21" s="14" t="s">
        <v>10</v>
      </c>
      <c r="E21" s="15" t="s">
        <v>68</v>
      </c>
      <c r="F21" s="14" t="s">
        <v>18</v>
      </c>
      <c r="G21" s="14" t="s">
        <v>19</v>
      </c>
      <c r="H21" s="14" t="s">
        <v>69</v>
      </c>
      <c r="I21" s="16">
        <f>X53</f>
        <v>519.1780822</v>
      </c>
      <c r="J21" s="121">
        <v>300000.0</v>
      </c>
      <c r="K21" s="35"/>
      <c r="M21" s="11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7.25" customHeight="1">
      <c r="A22" s="12">
        <v>3.0</v>
      </c>
      <c r="B22" s="14" t="s">
        <v>52</v>
      </c>
      <c r="C22" s="14" t="s">
        <v>43</v>
      </c>
      <c r="D22" s="14" t="s">
        <v>10</v>
      </c>
      <c r="E22" s="14" t="s">
        <v>70</v>
      </c>
      <c r="F22" s="14" t="s">
        <v>12</v>
      </c>
      <c r="G22" s="14" t="s">
        <v>13</v>
      </c>
      <c r="H22" s="14" t="s">
        <v>69</v>
      </c>
      <c r="I22" s="16">
        <f>I21</f>
        <v>519.1780822</v>
      </c>
      <c r="J22" s="121">
        <v>100034.0</v>
      </c>
      <c r="K22" s="36"/>
      <c r="L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7.25" customHeight="1">
      <c r="A23" s="7"/>
      <c r="B23" s="7"/>
      <c r="C23" s="18"/>
      <c r="D23" s="7"/>
      <c r="E23" s="7"/>
      <c r="F23" s="7"/>
      <c r="G23" s="7"/>
      <c r="H23" s="7"/>
      <c r="I23" s="19"/>
      <c r="J23" s="7"/>
      <c r="K23" s="7"/>
      <c r="L23" s="7"/>
      <c r="M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7.25" customHeight="1">
      <c r="A24" s="7"/>
      <c r="B24" s="37"/>
      <c r="C24" s="18"/>
      <c r="D24" s="7"/>
      <c r="E24" s="7"/>
      <c r="F24" s="7"/>
      <c r="G24" s="7"/>
      <c r="H24" s="7"/>
      <c r="I24" s="19"/>
      <c r="J24" s="7"/>
      <c r="K24" s="7"/>
      <c r="L24" s="7"/>
      <c r="M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7.25" customHeight="1">
      <c r="A25" s="7"/>
      <c r="B25" s="7"/>
      <c r="C25" s="18"/>
      <c r="D25" s="112" t="s">
        <v>52</v>
      </c>
      <c r="E25" s="29" t="s">
        <v>64</v>
      </c>
      <c r="F25" s="7"/>
      <c r="G25" s="7"/>
      <c r="H25" s="7"/>
      <c r="I25" s="19"/>
      <c r="J25" s="7"/>
      <c r="K25" s="7"/>
      <c r="L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7.25" customHeight="1">
      <c r="A26" s="7"/>
      <c r="B26" s="7"/>
      <c r="C26" s="30"/>
      <c r="D26" s="31" t="s">
        <v>57</v>
      </c>
      <c r="E26" s="32" t="s">
        <v>65</v>
      </c>
      <c r="F26" s="33"/>
      <c r="G26" s="7"/>
      <c r="H26" s="7"/>
      <c r="I26" s="7"/>
      <c r="J26" s="7"/>
      <c r="K26" s="7"/>
      <c r="L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7.25" customHeight="1">
      <c r="A27" s="9" t="s">
        <v>40</v>
      </c>
      <c r="B27" s="9" t="s">
        <v>1</v>
      </c>
      <c r="C27" s="9" t="s">
        <v>41</v>
      </c>
      <c r="D27" s="9" t="s">
        <v>2</v>
      </c>
      <c r="E27" s="9" t="s">
        <v>3</v>
      </c>
      <c r="F27" s="20"/>
      <c r="G27" s="9" t="s">
        <v>5</v>
      </c>
      <c r="H27" s="9" t="s">
        <v>6</v>
      </c>
      <c r="I27" s="9" t="s">
        <v>7</v>
      </c>
      <c r="J27" s="10" t="s">
        <v>8</v>
      </c>
      <c r="K27" s="7"/>
      <c r="L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7.25" customHeight="1">
      <c r="A28" s="12">
        <v>3.0</v>
      </c>
      <c r="B28" s="14" t="s">
        <v>52</v>
      </c>
      <c r="C28" s="14" t="s">
        <v>67</v>
      </c>
      <c r="D28" s="14" t="s">
        <v>10</v>
      </c>
      <c r="E28" s="15" t="s">
        <v>79</v>
      </c>
      <c r="F28" s="14" t="s">
        <v>12</v>
      </c>
      <c r="G28" s="14" t="s">
        <v>13</v>
      </c>
      <c r="H28" s="15" t="s">
        <v>197</v>
      </c>
      <c r="I28" s="113">
        <v>149213.49</v>
      </c>
      <c r="J28" s="121">
        <v>100062.0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7.25" customHeight="1">
      <c r="A29" s="12">
        <v>3.0</v>
      </c>
      <c r="B29" s="14" t="s">
        <v>52</v>
      </c>
      <c r="C29" s="13" t="s">
        <v>67</v>
      </c>
      <c r="D29" s="14" t="s">
        <v>10</v>
      </c>
      <c r="E29" s="15" t="s">
        <v>82</v>
      </c>
      <c r="F29" s="15" t="s">
        <v>22</v>
      </c>
      <c r="G29" s="15" t="s">
        <v>19</v>
      </c>
      <c r="H29" s="15" t="s">
        <v>197</v>
      </c>
      <c r="I29" s="16">
        <f>I28</f>
        <v>149213.49</v>
      </c>
      <c r="J29" s="121">
        <v>210003.0</v>
      </c>
      <c r="K29" s="11" t="s">
        <v>385</v>
      </c>
      <c r="L29" s="7"/>
      <c r="M29" s="11">
        <v>200040.0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7.25" customHeight="1">
      <c r="A30" s="7"/>
      <c r="B30" s="37"/>
      <c r="C30" s="18"/>
      <c r="D30" s="7"/>
      <c r="E30" s="7"/>
      <c r="F30" s="7"/>
      <c r="G30" s="7"/>
      <c r="H30" s="7"/>
      <c r="I30" s="1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7.25" customHeight="1">
      <c r="A31" s="7"/>
      <c r="B31" s="7"/>
      <c r="C31" s="18"/>
      <c r="D31" s="112" t="s">
        <v>200</v>
      </c>
      <c r="E31" s="29" t="s">
        <v>64</v>
      </c>
      <c r="F31" s="7"/>
      <c r="G31" s="7"/>
      <c r="H31" s="7"/>
      <c r="I31" s="1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7.25" customHeight="1">
      <c r="A32" s="7"/>
      <c r="B32" s="7"/>
      <c r="C32" s="30"/>
      <c r="D32" s="31" t="s">
        <v>57</v>
      </c>
      <c r="E32" s="32" t="s">
        <v>65</v>
      </c>
      <c r="F32" s="33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7.25" customHeight="1">
      <c r="A33" s="9" t="s">
        <v>40</v>
      </c>
      <c r="B33" s="9" t="s">
        <v>1</v>
      </c>
      <c r="C33" s="9" t="s">
        <v>41</v>
      </c>
      <c r="D33" s="9" t="s">
        <v>2</v>
      </c>
      <c r="E33" s="9" t="s">
        <v>3</v>
      </c>
      <c r="F33" s="20"/>
      <c r="G33" s="9" t="s">
        <v>5</v>
      </c>
      <c r="H33" s="9" t="s">
        <v>6</v>
      </c>
      <c r="I33" s="9" t="s">
        <v>7</v>
      </c>
      <c r="J33" s="10" t="s">
        <v>8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7.25" customHeight="1">
      <c r="A34" s="12">
        <v>3.0</v>
      </c>
      <c r="B34" s="15" t="s">
        <v>200</v>
      </c>
      <c r="C34" s="14" t="s">
        <v>67</v>
      </c>
      <c r="D34" s="14" t="s">
        <v>10</v>
      </c>
      <c r="E34" s="15" t="s">
        <v>82</v>
      </c>
      <c r="F34" s="15" t="s">
        <v>22</v>
      </c>
      <c r="G34" s="15" t="s">
        <v>13</v>
      </c>
      <c r="H34" s="15" t="s">
        <v>83</v>
      </c>
      <c r="I34" s="113">
        <v>149213.49</v>
      </c>
      <c r="J34" s="121">
        <v>210003.0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7.25" customHeight="1">
      <c r="A35" s="12">
        <v>3.0</v>
      </c>
      <c r="B35" s="15" t="s">
        <v>200</v>
      </c>
      <c r="C35" s="13" t="s">
        <v>67</v>
      </c>
      <c r="D35" s="14" t="s">
        <v>10</v>
      </c>
      <c r="E35" s="15" t="s">
        <v>79</v>
      </c>
      <c r="F35" s="14" t="s">
        <v>12</v>
      </c>
      <c r="G35" s="15" t="s">
        <v>19</v>
      </c>
      <c r="H35" s="15" t="s">
        <v>83</v>
      </c>
      <c r="I35" s="16">
        <f>I34</f>
        <v>149213.49</v>
      </c>
      <c r="J35" s="121">
        <v>100062.0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7.25" customHeight="1">
      <c r="A36" s="7"/>
      <c r="B36" s="37"/>
      <c r="C36" s="18"/>
      <c r="D36" s="7"/>
      <c r="E36" s="7"/>
      <c r="F36" s="7"/>
      <c r="G36" s="7"/>
      <c r="H36" s="7"/>
      <c r="I36" s="1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7.25" customHeight="1">
      <c r="A37" s="7"/>
      <c r="B37" s="37"/>
      <c r="C37" s="18"/>
      <c r="D37" s="7"/>
      <c r="E37" s="7"/>
      <c r="F37" s="7"/>
      <c r="G37" s="7"/>
      <c r="H37" s="7"/>
      <c r="I37" s="1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7.25" customHeight="1">
      <c r="A38" s="7"/>
      <c r="B38" s="7"/>
      <c r="C38" s="18"/>
      <c r="D38" s="7"/>
      <c r="E38" s="7"/>
      <c r="F38" s="7"/>
      <c r="G38" s="7"/>
      <c r="H38" s="7"/>
      <c r="I38" s="1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7.25" customHeight="1">
      <c r="A39" s="7"/>
      <c r="B39" s="7"/>
      <c r="C39" s="18"/>
      <c r="D39" s="7"/>
      <c r="E39" s="7"/>
      <c r="F39" s="7"/>
      <c r="G39" s="7"/>
      <c r="H39" s="7"/>
      <c r="I39" s="19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7.25" customHeight="1">
      <c r="A40" s="7"/>
      <c r="B40" s="43" t="s">
        <v>85</v>
      </c>
      <c r="C40" s="31" t="s">
        <v>57</v>
      </c>
      <c r="D40" s="32" t="s">
        <v>86</v>
      </c>
      <c r="E40" s="33"/>
      <c r="F40" s="7"/>
      <c r="G40" s="7"/>
      <c r="H40" s="7"/>
      <c r="I40" s="7"/>
      <c r="J40" s="7"/>
      <c r="K40" s="7"/>
      <c r="L40" s="7"/>
      <c r="M40" s="187" t="s">
        <v>386</v>
      </c>
      <c r="N40" s="187" t="s">
        <v>387</v>
      </c>
      <c r="O40" s="7"/>
      <c r="P40" s="7"/>
      <c r="Q40" s="11" t="s">
        <v>388</v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7.25" customHeight="1">
      <c r="A41" s="9" t="s">
        <v>40</v>
      </c>
      <c r="B41" s="9" t="s">
        <v>1</v>
      </c>
      <c r="C41" s="9" t="s">
        <v>41</v>
      </c>
      <c r="D41" s="9" t="s">
        <v>2</v>
      </c>
      <c r="E41" s="9" t="s">
        <v>3</v>
      </c>
      <c r="F41" s="20"/>
      <c r="G41" s="9" t="s">
        <v>5</v>
      </c>
      <c r="H41" s="9" t="s">
        <v>6</v>
      </c>
      <c r="I41" s="9" t="s">
        <v>7</v>
      </c>
      <c r="J41" s="10" t="s">
        <v>8</v>
      </c>
      <c r="K41" s="7"/>
      <c r="L41" s="7"/>
      <c r="M41" s="44" t="s">
        <v>87</v>
      </c>
      <c r="N41" s="44" t="s">
        <v>88</v>
      </c>
      <c r="O41" s="7"/>
      <c r="P41" s="7"/>
      <c r="Q41" s="11" t="s">
        <v>388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7.25" customHeight="1">
      <c r="A42" s="12">
        <v>4.0</v>
      </c>
      <c r="B42" s="13" t="s">
        <v>52</v>
      </c>
      <c r="C42" s="7" t="s">
        <v>89</v>
      </c>
      <c r="D42" s="14" t="s">
        <v>10</v>
      </c>
      <c r="E42" s="45" t="str">
        <f>E34</f>
        <v>Working Capital Loan</v>
      </c>
      <c r="F42" s="45" t="s">
        <v>22</v>
      </c>
      <c r="G42" s="46" t="s">
        <v>13</v>
      </c>
      <c r="H42" s="46" t="s">
        <v>90</v>
      </c>
      <c r="I42" s="47">
        <v>17682.0</v>
      </c>
      <c r="J42" s="121">
        <v>210003.0</v>
      </c>
      <c r="K42" s="35">
        <v>100001.0</v>
      </c>
      <c r="L42" s="7"/>
      <c r="M42" s="44" t="s">
        <v>91</v>
      </c>
      <c r="N42" s="44" t="s">
        <v>92</v>
      </c>
      <c r="O42" s="7"/>
      <c r="P42" s="7"/>
      <c r="Q42" s="11" t="s">
        <v>389</v>
      </c>
      <c r="R42" s="11" t="s">
        <v>390</v>
      </c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7.25" customHeight="1">
      <c r="A43" s="12">
        <v>4.0</v>
      </c>
      <c r="B43" s="14" t="s">
        <v>52</v>
      </c>
      <c r="C43" s="18"/>
      <c r="D43" s="14" t="s">
        <v>10</v>
      </c>
      <c r="E43" s="15" t="s">
        <v>44</v>
      </c>
      <c r="F43" s="14" t="s">
        <v>12</v>
      </c>
      <c r="G43" s="14" t="s">
        <v>19</v>
      </c>
      <c r="H43" s="27"/>
      <c r="I43" s="16">
        <v>15657.21</v>
      </c>
      <c r="J43" s="121">
        <v>100031.0</v>
      </c>
      <c r="K43" s="35">
        <v>100001.0</v>
      </c>
      <c r="L43" s="7"/>
      <c r="M43" s="48" t="s">
        <v>93</v>
      </c>
      <c r="N43" s="48" t="s">
        <v>94</v>
      </c>
      <c r="O43" s="49"/>
      <c r="P43" s="49"/>
      <c r="Q43" s="11" t="s">
        <v>388</v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7.25" customHeight="1">
      <c r="A44" s="12">
        <v>4.0</v>
      </c>
      <c r="B44" s="14" t="s">
        <v>52</v>
      </c>
      <c r="C44" s="18"/>
      <c r="D44" s="14" t="s">
        <v>10</v>
      </c>
      <c r="E44" s="14" t="s">
        <v>70</v>
      </c>
      <c r="F44" s="14" t="s">
        <v>12</v>
      </c>
      <c r="G44" s="14" t="s">
        <v>19</v>
      </c>
      <c r="H44" s="27"/>
      <c r="I44" s="16">
        <v>2024.79</v>
      </c>
      <c r="J44" s="121">
        <v>100034.0</v>
      </c>
      <c r="K44" s="35">
        <v>100001.0</v>
      </c>
      <c r="L44" s="7"/>
      <c r="M44" s="50" t="s">
        <v>95</v>
      </c>
      <c r="N44" s="50" t="s">
        <v>96</v>
      </c>
      <c r="O44" s="49"/>
      <c r="P44" s="49"/>
      <c r="Q44" s="11" t="s">
        <v>389</v>
      </c>
      <c r="R44" s="11" t="s">
        <v>391</v>
      </c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7.25" customHeight="1">
      <c r="A45" s="7"/>
      <c r="B45" s="7"/>
      <c r="C45" s="7"/>
      <c r="D45" s="7"/>
      <c r="E45" s="7"/>
      <c r="F45" s="7"/>
      <c r="G45" s="7"/>
      <c r="H45" s="7"/>
      <c r="I45" s="19"/>
      <c r="J45" s="7"/>
      <c r="K45" s="7"/>
      <c r="L45" s="7"/>
      <c r="M45" s="50" t="s">
        <v>97</v>
      </c>
      <c r="N45" s="50" t="s">
        <v>98</v>
      </c>
      <c r="O45" s="49"/>
      <c r="P45" s="49"/>
      <c r="Q45" s="11" t="s">
        <v>389</v>
      </c>
      <c r="R45" s="11" t="s">
        <v>390</v>
      </c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7.25" customHeight="1">
      <c r="A46" s="7"/>
      <c r="B46" s="7"/>
      <c r="C46" s="30"/>
      <c r="D46" s="31" t="s">
        <v>57</v>
      </c>
      <c r="E46" s="32" t="s">
        <v>65</v>
      </c>
      <c r="F46" s="33"/>
      <c r="G46" s="7"/>
      <c r="H46" s="7"/>
      <c r="I46" s="19"/>
      <c r="J46" s="7"/>
      <c r="K46" s="7"/>
      <c r="L46" s="7"/>
      <c r="M46" s="51" t="s">
        <v>99</v>
      </c>
      <c r="N46" s="51" t="s">
        <v>100</v>
      </c>
      <c r="O46" s="23"/>
      <c r="P46" s="23"/>
      <c r="Q46" s="11" t="s">
        <v>389</v>
      </c>
      <c r="R46" s="11" t="s">
        <v>392</v>
      </c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7.25" customHeight="1">
      <c r="A47" s="9" t="s">
        <v>40</v>
      </c>
      <c r="B47" s="9" t="s">
        <v>1</v>
      </c>
      <c r="C47" s="9" t="s">
        <v>41</v>
      </c>
      <c r="D47" s="9" t="s">
        <v>2</v>
      </c>
      <c r="E47" s="9" t="s">
        <v>3</v>
      </c>
      <c r="F47" s="20"/>
      <c r="G47" s="9" t="s">
        <v>5</v>
      </c>
      <c r="H47" s="9" t="s">
        <v>6</v>
      </c>
      <c r="I47" s="9" t="s">
        <v>7</v>
      </c>
      <c r="J47" s="10" t="s">
        <v>8</v>
      </c>
      <c r="K47" s="7"/>
      <c r="L47" s="7"/>
      <c r="M47" s="50" t="s">
        <v>101</v>
      </c>
      <c r="N47" s="50" t="s">
        <v>102</v>
      </c>
      <c r="O47" s="49"/>
      <c r="P47" s="49"/>
      <c r="Q47" s="11" t="s">
        <v>393</v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7.25" customHeight="1">
      <c r="A48" s="12">
        <v>5.0</v>
      </c>
      <c r="B48" s="14" t="s">
        <v>66</v>
      </c>
      <c r="C48" s="14" t="s">
        <v>103</v>
      </c>
      <c r="D48" s="14" t="s">
        <v>10</v>
      </c>
      <c r="E48" s="15" t="s">
        <v>68</v>
      </c>
      <c r="F48" s="14" t="s">
        <v>18</v>
      </c>
      <c r="G48" s="14" t="s">
        <v>19</v>
      </c>
      <c r="H48" s="14" t="s">
        <v>69</v>
      </c>
      <c r="I48" s="16">
        <f>X54</f>
        <v>1593.194294</v>
      </c>
      <c r="J48" s="121">
        <v>300000.0</v>
      </c>
      <c r="K48" s="36"/>
      <c r="L48" s="7"/>
      <c r="M48" s="50" t="s">
        <v>104</v>
      </c>
      <c r="N48" s="50" t="s">
        <v>105</v>
      </c>
      <c r="O48" s="49"/>
      <c r="P48" s="49"/>
      <c r="Q48" s="11" t="s">
        <v>393</v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7.25" customHeight="1">
      <c r="A49" s="12">
        <v>5.0</v>
      </c>
      <c r="B49" s="14" t="s">
        <v>66</v>
      </c>
      <c r="C49" s="13" t="str">
        <f>C48</f>
        <v>31-03-2025</v>
      </c>
      <c r="D49" s="14" t="s">
        <v>10</v>
      </c>
      <c r="E49" s="14" t="s">
        <v>70</v>
      </c>
      <c r="F49" s="14" t="s">
        <v>12</v>
      </c>
      <c r="G49" s="14" t="s">
        <v>13</v>
      </c>
      <c r="H49" s="14" t="s">
        <v>69</v>
      </c>
      <c r="I49" s="16">
        <f>I48</f>
        <v>1593.194294</v>
      </c>
      <c r="J49" s="121">
        <v>100034.0</v>
      </c>
      <c r="K49" s="36"/>
      <c r="L49" s="7"/>
      <c r="M49" s="50" t="s">
        <v>106</v>
      </c>
      <c r="N49" s="50" t="s">
        <v>107</v>
      </c>
      <c r="O49" s="49"/>
      <c r="P49" s="49"/>
      <c r="Q49" s="11" t="s">
        <v>388</v>
      </c>
      <c r="R49" s="11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7.25" customHeight="1">
      <c r="A50" s="7"/>
      <c r="B50" s="7"/>
      <c r="C50" s="18"/>
      <c r="D50" s="7"/>
      <c r="E50" s="7"/>
      <c r="F50" s="7"/>
      <c r="G50" s="7"/>
      <c r="H50" s="7"/>
      <c r="I50" s="19"/>
      <c r="J50" s="7"/>
      <c r="K50" s="7"/>
      <c r="L50" s="7"/>
      <c r="M50" s="50" t="s">
        <v>108</v>
      </c>
      <c r="N50" s="50" t="s">
        <v>109</v>
      </c>
      <c r="O50" s="49"/>
      <c r="P50" s="49"/>
      <c r="Q50" s="11" t="s">
        <v>388</v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7.25" customHeight="1">
      <c r="A51" s="7"/>
      <c r="B51" s="7"/>
      <c r="C51" s="18"/>
      <c r="D51" s="7"/>
      <c r="E51" s="7"/>
      <c r="F51" s="7"/>
      <c r="G51" s="7"/>
      <c r="H51" s="7"/>
      <c r="I51" s="19"/>
      <c r="J51" s="7"/>
      <c r="K51" s="7"/>
      <c r="L51" s="7"/>
      <c r="M51" s="18"/>
      <c r="N51" s="18"/>
      <c r="O51" s="7"/>
      <c r="P51" s="8" t="s">
        <v>110</v>
      </c>
      <c r="Q51" s="7"/>
      <c r="R51" s="52">
        <v>45707.0</v>
      </c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7.25" customHeight="1">
      <c r="A52" s="7"/>
      <c r="B52" s="7"/>
      <c r="C52" s="31" t="s">
        <v>57</v>
      </c>
      <c r="D52" s="32" t="s">
        <v>86</v>
      </c>
      <c r="E52" s="33"/>
      <c r="F52" s="7"/>
      <c r="G52" s="7"/>
      <c r="H52" s="7"/>
      <c r="I52" s="7"/>
      <c r="J52" s="7"/>
      <c r="K52" s="7"/>
      <c r="L52" s="7"/>
      <c r="M52" s="18"/>
      <c r="N52" s="18"/>
      <c r="O52" s="7"/>
      <c r="P52" s="7" t="s">
        <v>111</v>
      </c>
      <c r="Q52" s="53" t="s">
        <v>112</v>
      </c>
      <c r="R52" s="53" t="s">
        <v>113</v>
      </c>
      <c r="S52" s="53" t="s">
        <v>114</v>
      </c>
      <c r="T52" s="53" t="s">
        <v>115</v>
      </c>
      <c r="U52" s="53" t="s">
        <v>116</v>
      </c>
      <c r="V52" s="53" t="s">
        <v>117</v>
      </c>
      <c r="W52" s="7"/>
      <c r="X52" s="7"/>
      <c r="Y52" s="7"/>
      <c r="Z52" s="7"/>
      <c r="AA52" s="7"/>
      <c r="AB52" s="7"/>
    </row>
    <row r="53" ht="17.25" customHeight="1">
      <c r="A53" s="9" t="s">
        <v>40</v>
      </c>
      <c r="B53" s="9" t="s">
        <v>1</v>
      </c>
      <c r="C53" s="9" t="s">
        <v>41</v>
      </c>
      <c r="D53" s="9" t="s">
        <v>2</v>
      </c>
      <c r="E53" s="9" t="s">
        <v>3</v>
      </c>
      <c r="F53" s="20"/>
      <c r="G53" s="9" t="s">
        <v>5</v>
      </c>
      <c r="H53" s="9" t="s">
        <v>6</v>
      </c>
      <c r="I53" s="9" t="s">
        <v>7</v>
      </c>
      <c r="J53" s="10" t="s">
        <v>8</v>
      </c>
      <c r="K53" s="7"/>
      <c r="L53" s="7"/>
      <c r="M53" s="7"/>
      <c r="N53" s="7"/>
      <c r="O53" s="7"/>
      <c r="P53" s="7"/>
      <c r="Q53" s="54">
        <v>1.0</v>
      </c>
      <c r="R53" s="55">
        <v>45716.0</v>
      </c>
      <c r="S53" s="54">
        <v>100000.0</v>
      </c>
      <c r="T53" s="54">
        <v>100000.0</v>
      </c>
      <c r="U53" s="54">
        <v>519.18</v>
      </c>
      <c r="V53" s="54">
        <v>519.18</v>
      </c>
      <c r="W53" s="56">
        <f>R53-R51+1</f>
        <v>10</v>
      </c>
      <c r="X53" s="56">
        <f>T53*18.95%/365*((R53-R51)+1)</f>
        <v>519.1780822</v>
      </c>
      <c r="Y53" s="7"/>
      <c r="Z53" s="7"/>
      <c r="AA53" s="7"/>
      <c r="AB53" s="7"/>
    </row>
    <row r="54" ht="17.25" customHeight="1">
      <c r="A54" s="12">
        <v>6.0</v>
      </c>
      <c r="B54" s="14" t="s">
        <v>52</v>
      </c>
      <c r="C54" s="7" t="s">
        <v>118</v>
      </c>
      <c r="D54" s="14" t="s">
        <v>10</v>
      </c>
      <c r="E54" s="15" t="s">
        <v>82</v>
      </c>
      <c r="F54" s="15" t="s">
        <v>22</v>
      </c>
      <c r="G54" s="14" t="s">
        <v>13</v>
      </c>
      <c r="H54" s="14" t="s">
        <v>90</v>
      </c>
      <c r="I54" s="16">
        <f>I55+I56</f>
        <v>17682</v>
      </c>
      <c r="J54" s="121">
        <v>210003.0</v>
      </c>
      <c r="K54" s="35">
        <v>100001.0</v>
      </c>
      <c r="L54" s="7"/>
      <c r="M54" s="7"/>
      <c r="N54" s="7"/>
      <c r="O54" s="7"/>
      <c r="P54" s="57">
        <v>45746.0</v>
      </c>
      <c r="Q54" s="58">
        <v>2.0</v>
      </c>
      <c r="R54" s="59">
        <v>45747.0</v>
      </c>
      <c r="S54" s="58">
        <v>100000.0</v>
      </c>
      <c r="T54" s="58">
        <v>84342.79</v>
      </c>
      <c r="U54" s="58">
        <v>1593.19</v>
      </c>
      <c r="V54" s="58">
        <v>1593.19</v>
      </c>
      <c r="W54" s="56">
        <v>31.0</v>
      </c>
      <c r="X54" s="56">
        <f t="shared" ref="X54:X59" si="1">(S54*18.95%/365*(P54-R53-1))+(T54*18.95%/365*(R54-P54+1))</f>
        <v>1593.194294</v>
      </c>
      <c r="Y54" s="7"/>
      <c r="Z54" s="7"/>
      <c r="AA54" s="7"/>
      <c r="AB54" s="7"/>
    </row>
    <row r="55" ht="17.25" customHeight="1">
      <c r="A55" s="12">
        <v>6.0</v>
      </c>
      <c r="B55" s="14" t="s">
        <v>52</v>
      </c>
      <c r="C55" s="18"/>
      <c r="D55" s="14" t="s">
        <v>10</v>
      </c>
      <c r="E55" s="15" t="s">
        <v>44</v>
      </c>
      <c r="F55" s="14" t="s">
        <v>12</v>
      </c>
      <c r="G55" s="14" t="s">
        <v>19</v>
      </c>
      <c r="H55" s="27"/>
      <c r="I55" s="16">
        <f>16324.54</f>
        <v>16324.54</v>
      </c>
      <c r="J55" s="121">
        <v>100031.0</v>
      </c>
      <c r="K55" s="35">
        <v>100001.0</v>
      </c>
      <c r="L55" s="7"/>
      <c r="M55" s="7"/>
      <c r="N55" s="7"/>
      <c r="O55" s="7"/>
      <c r="P55" s="57">
        <v>45777.0</v>
      </c>
      <c r="Q55" s="58">
        <v>3.0</v>
      </c>
      <c r="R55" s="59">
        <v>45777.0</v>
      </c>
      <c r="S55" s="58">
        <v>84342.79</v>
      </c>
      <c r="T55" s="58">
        <v>68018.25</v>
      </c>
      <c r="U55" s="58">
        <v>1305.2</v>
      </c>
      <c r="V55" s="58">
        <v>1305.2</v>
      </c>
      <c r="W55" s="56">
        <v>30.0</v>
      </c>
      <c r="X55" s="56">
        <f t="shared" si="1"/>
        <v>1305.192495</v>
      </c>
      <c r="Y55" s="7"/>
      <c r="Z55" s="7"/>
      <c r="AA55" s="7"/>
      <c r="AB55" s="7"/>
    </row>
    <row r="56" ht="17.25" customHeight="1">
      <c r="A56" s="12">
        <v>6.0</v>
      </c>
      <c r="B56" s="14" t="s">
        <v>52</v>
      </c>
      <c r="C56" s="18"/>
      <c r="D56" s="14" t="s">
        <v>10</v>
      </c>
      <c r="E56" s="14" t="s">
        <v>70</v>
      </c>
      <c r="F56" s="14" t="s">
        <v>12</v>
      </c>
      <c r="G56" s="14" t="s">
        <v>19</v>
      </c>
      <c r="H56" s="27"/>
      <c r="I56" s="16">
        <v>1357.46</v>
      </c>
      <c r="J56" s="121">
        <v>100034.0</v>
      </c>
      <c r="K56" s="35">
        <v>100001.0</v>
      </c>
      <c r="L56" s="7"/>
      <c r="M56" s="7"/>
      <c r="N56" s="7"/>
      <c r="O56" s="7"/>
      <c r="P56" s="57">
        <v>45807.0</v>
      </c>
      <c r="Q56" s="58">
        <v>4.0</v>
      </c>
      <c r="R56" s="59">
        <v>45808.0</v>
      </c>
      <c r="S56" s="58">
        <v>68018.25</v>
      </c>
      <c r="T56" s="58">
        <v>51395.66</v>
      </c>
      <c r="U56" s="58">
        <v>1077.46</v>
      </c>
      <c r="V56" s="58">
        <v>1077.46</v>
      </c>
      <c r="W56" s="56">
        <v>31.0</v>
      </c>
      <c r="X56" s="56">
        <f t="shared" si="1"/>
        <v>1077.460953</v>
      </c>
      <c r="Y56" s="7"/>
      <c r="Z56" s="7"/>
      <c r="AA56" s="7"/>
      <c r="AB56" s="7"/>
    </row>
    <row r="57" ht="17.25" customHeight="1">
      <c r="A57" s="7"/>
      <c r="B57" s="7"/>
      <c r="C57" s="7"/>
      <c r="D57" s="7"/>
      <c r="E57" s="7"/>
      <c r="F57" s="7"/>
      <c r="G57" s="7"/>
      <c r="H57" s="7"/>
      <c r="I57" s="19"/>
      <c r="J57" s="7"/>
      <c r="K57" s="7"/>
      <c r="L57" s="7"/>
      <c r="M57" s="7"/>
      <c r="N57" s="7"/>
      <c r="O57" s="7"/>
      <c r="P57" s="57">
        <v>45838.0</v>
      </c>
      <c r="Q57" s="58">
        <v>5.0</v>
      </c>
      <c r="R57" s="59">
        <v>45838.0</v>
      </c>
      <c r="S57" s="58">
        <v>51395.66</v>
      </c>
      <c r="T57" s="58">
        <v>34540.85</v>
      </c>
      <c r="U57" s="58">
        <v>791.76</v>
      </c>
      <c r="V57" s="58">
        <v>791.76</v>
      </c>
      <c r="W57" s="56">
        <v>30.0</v>
      </c>
      <c r="X57" s="56">
        <f t="shared" si="1"/>
        <v>791.7543578</v>
      </c>
      <c r="Y57" s="7"/>
      <c r="Z57" s="7"/>
      <c r="AA57" s="7"/>
      <c r="AB57" s="7"/>
    </row>
    <row r="58" ht="17.25" customHeight="1">
      <c r="A58" s="7"/>
      <c r="B58" s="7"/>
      <c r="C58" s="7"/>
      <c r="D58" s="7"/>
      <c r="E58" s="7"/>
      <c r="F58" s="7"/>
      <c r="G58" s="7"/>
      <c r="H58" s="7"/>
      <c r="I58" s="19"/>
      <c r="J58" s="7"/>
      <c r="K58" s="7"/>
      <c r="L58" s="7"/>
      <c r="M58" s="7"/>
      <c r="N58" s="7"/>
      <c r="O58" s="7"/>
      <c r="P58" s="57">
        <v>45868.0</v>
      </c>
      <c r="Q58" s="58">
        <v>6.0</v>
      </c>
      <c r="R58" s="59">
        <v>45869.0</v>
      </c>
      <c r="S58" s="58">
        <v>34540.85</v>
      </c>
      <c r="T58" s="58">
        <v>17396.84</v>
      </c>
      <c r="U58" s="58">
        <v>538.45</v>
      </c>
      <c r="V58" s="58">
        <v>538.45</v>
      </c>
      <c r="W58" s="56">
        <v>31.0</v>
      </c>
      <c r="X58" s="56">
        <f t="shared" si="1"/>
        <v>538.1168316</v>
      </c>
      <c r="Y58" s="7"/>
      <c r="Z58" s="7"/>
      <c r="AA58" s="7"/>
      <c r="AB58" s="7"/>
    </row>
    <row r="59" ht="17.25" customHeight="1">
      <c r="A59" s="7"/>
      <c r="B59" s="7"/>
      <c r="C59" s="30"/>
      <c r="D59" s="31" t="s">
        <v>57</v>
      </c>
      <c r="E59" s="32" t="s">
        <v>65</v>
      </c>
      <c r="F59" s="33"/>
      <c r="G59" s="7"/>
      <c r="H59" s="7"/>
      <c r="I59" s="7"/>
      <c r="J59" s="7"/>
      <c r="K59" s="7"/>
      <c r="L59" s="7"/>
      <c r="M59" s="7"/>
      <c r="N59" s="7"/>
      <c r="O59" s="7"/>
      <c r="P59" s="60">
        <v>45899.0</v>
      </c>
      <c r="Q59" s="58">
        <v>7.0</v>
      </c>
      <c r="R59" s="55">
        <v>45900.0</v>
      </c>
      <c r="S59" s="58">
        <v>17396.84</v>
      </c>
      <c r="T59" s="58">
        <v>0.0</v>
      </c>
      <c r="U59" s="58">
        <v>266.76</v>
      </c>
      <c r="V59" s="58">
        <v>266.76</v>
      </c>
      <c r="W59" s="56">
        <v>31.0</v>
      </c>
      <c r="X59" s="56">
        <f t="shared" si="1"/>
        <v>261.9296828</v>
      </c>
      <c r="Y59" s="7"/>
      <c r="Z59" s="7"/>
      <c r="AA59" s="7"/>
      <c r="AB59" s="7"/>
    </row>
    <row r="60" ht="17.25" customHeight="1">
      <c r="A60" s="9" t="s">
        <v>40</v>
      </c>
      <c r="B60" s="9" t="s">
        <v>1</v>
      </c>
      <c r="C60" s="9" t="s">
        <v>41</v>
      </c>
      <c r="D60" s="9" t="s">
        <v>2</v>
      </c>
      <c r="E60" s="9" t="s">
        <v>3</v>
      </c>
      <c r="F60" s="20"/>
      <c r="G60" s="9" t="s">
        <v>5</v>
      </c>
      <c r="H60" s="9" t="s">
        <v>6</v>
      </c>
      <c r="I60" s="9" t="s">
        <v>7</v>
      </c>
      <c r="J60" s="10" t="s">
        <v>8</v>
      </c>
      <c r="K60" s="7"/>
      <c r="L60" s="7"/>
      <c r="M60" s="7"/>
      <c r="N60" s="7"/>
      <c r="O60" s="7"/>
      <c r="P60" s="8" t="s">
        <v>120</v>
      </c>
      <c r="Q60" s="18"/>
      <c r="R60" s="18"/>
      <c r="S60" s="18"/>
      <c r="T60" s="18"/>
      <c r="U60" s="58">
        <f>sum(U53:U59)</f>
        <v>6092</v>
      </c>
      <c r="V60" s="18"/>
      <c r="W60" s="7"/>
      <c r="X60" s="54">
        <f>sum(X53:X59)</f>
        <v>6086.826698</v>
      </c>
      <c r="Y60" s="7"/>
      <c r="Z60" s="7"/>
      <c r="AA60" s="7"/>
      <c r="AB60" s="7"/>
    </row>
    <row r="61" ht="17.25" customHeight="1">
      <c r="A61" s="12">
        <v>7.0</v>
      </c>
      <c r="B61" s="14" t="s">
        <v>66</v>
      </c>
      <c r="C61" s="14" t="s">
        <v>118</v>
      </c>
      <c r="D61" s="14" t="s">
        <v>10</v>
      </c>
      <c r="E61" s="15" t="s">
        <v>68</v>
      </c>
      <c r="F61" s="14" t="s">
        <v>18</v>
      </c>
      <c r="G61" s="14" t="s">
        <v>19</v>
      </c>
      <c r="H61" s="14" t="s">
        <v>69</v>
      </c>
      <c r="I61" s="16">
        <f>X55</f>
        <v>1305.192495</v>
      </c>
      <c r="J61" s="121">
        <v>300000.0</v>
      </c>
      <c r="K61" s="36"/>
      <c r="L61" s="7"/>
      <c r="M61" s="7"/>
      <c r="N61" s="7"/>
      <c r="O61" s="7"/>
      <c r="P61" s="53" t="s">
        <v>121</v>
      </c>
      <c r="Q61" s="61" t="s">
        <v>122</v>
      </c>
      <c r="R61" s="61" t="s">
        <v>123</v>
      </c>
      <c r="S61" s="61" t="s">
        <v>124</v>
      </c>
      <c r="T61" s="61" t="s">
        <v>125</v>
      </c>
      <c r="U61" s="61" t="s">
        <v>114</v>
      </c>
      <c r="V61" s="61" t="s">
        <v>126</v>
      </c>
      <c r="W61" s="53" t="s">
        <v>127</v>
      </c>
      <c r="X61" s="53" t="s">
        <v>128</v>
      </c>
      <c r="Y61" s="53" t="s">
        <v>129</v>
      </c>
      <c r="Z61" s="7"/>
      <c r="AA61" s="7"/>
      <c r="AB61" s="7"/>
    </row>
    <row r="62" ht="17.25" customHeight="1">
      <c r="A62" s="12">
        <v>7.0</v>
      </c>
      <c r="B62" s="14" t="s">
        <v>66</v>
      </c>
      <c r="C62" s="13" t="str">
        <f>C61</f>
        <v>30-04-2025</v>
      </c>
      <c r="D62" s="14" t="s">
        <v>10</v>
      </c>
      <c r="E62" s="14" t="s">
        <v>70</v>
      </c>
      <c r="F62" s="14" t="s">
        <v>12</v>
      </c>
      <c r="G62" s="14" t="s">
        <v>13</v>
      </c>
      <c r="H62" s="14" t="s">
        <v>69</v>
      </c>
      <c r="I62" s="16">
        <f>I61</f>
        <v>1305.192495</v>
      </c>
      <c r="J62" s="121">
        <v>100034.0</v>
      </c>
      <c r="K62" s="36"/>
      <c r="L62" s="7"/>
      <c r="M62" s="7"/>
      <c r="N62" s="7"/>
      <c r="O62" s="7"/>
      <c r="P62" s="54">
        <v>1.0</v>
      </c>
      <c r="Q62" s="53" t="s">
        <v>89</v>
      </c>
      <c r="R62" s="54">
        <v>17682.0</v>
      </c>
      <c r="S62" s="54">
        <v>15657.21</v>
      </c>
      <c r="T62" s="54">
        <v>2024.79</v>
      </c>
      <c r="U62" s="54">
        <v>100000.0</v>
      </c>
      <c r="V62" s="54">
        <v>84342.79</v>
      </c>
      <c r="W62" s="53" t="s">
        <v>130</v>
      </c>
      <c r="X62" s="53" t="s">
        <v>131</v>
      </c>
      <c r="Y62" s="53" t="s">
        <v>131</v>
      </c>
      <c r="Z62" s="7"/>
      <c r="AA62" s="7"/>
      <c r="AB62" s="7"/>
    </row>
    <row r="63" ht="17.25" customHeight="1">
      <c r="A63" s="7"/>
      <c r="B63" s="7"/>
      <c r="C63" s="18"/>
      <c r="D63" s="7"/>
      <c r="E63" s="7"/>
      <c r="F63" s="7"/>
      <c r="G63" s="7"/>
      <c r="H63" s="7"/>
      <c r="I63" s="19"/>
      <c r="J63" s="7"/>
      <c r="K63" s="7"/>
      <c r="L63" s="7"/>
      <c r="M63" s="7"/>
      <c r="N63" s="7"/>
      <c r="O63" s="7"/>
      <c r="P63" s="54">
        <v>2.0</v>
      </c>
      <c r="Q63" s="53" t="s">
        <v>118</v>
      </c>
      <c r="R63" s="54">
        <v>17682.0</v>
      </c>
      <c r="S63" s="54">
        <v>16324.54</v>
      </c>
      <c r="T63" s="54">
        <v>1357.46</v>
      </c>
      <c r="U63" s="54">
        <v>84342.79</v>
      </c>
      <c r="V63" s="54">
        <v>68018.25</v>
      </c>
      <c r="W63" s="53" t="s">
        <v>130</v>
      </c>
      <c r="X63" s="53" t="s">
        <v>131</v>
      </c>
      <c r="Y63" s="53" t="s">
        <v>131</v>
      </c>
      <c r="Z63" s="7"/>
      <c r="AA63" s="7"/>
      <c r="AB63" s="7"/>
    </row>
    <row r="64" ht="17.25" customHeight="1">
      <c r="A64" s="7"/>
      <c r="B64" s="7"/>
      <c r="C64" s="62" t="s">
        <v>57</v>
      </c>
      <c r="D64" s="32" t="s">
        <v>86</v>
      </c>
      <c r="E64" s="33"/>
      <c r="F64" s="7"/>
      <c r="G64" s="7"/>
      <c r="H64" s="7"/>
      <c r="I64" s="19"/>
      <c r="J64" s="7"/>
      <c r="K64" s="7"/>
      <c r="L64" s="7"/>
      <c r="M64" s="7"/>
      <c r="N64" s="7"/>
      <c r="O64" s="7"/>
      <c r="P64" s="54">
        <v>3.0</v>
      </c>
      <c r="Q64" s="53" t="s">
        <v>132</v>
      </c>
      <c r="R64" s="54">
        <v>17682.0</v>
      </c>
      <c r="S64" s="54">
        <v>16622.59</v>
      </c>
      <c r="T64" s="54">
        <v>1059.41</v>
      </c>
      <c r="U64" s="54">
        <v>68018.25</v>
      </c>
      <c r="V64" s="54">
        <v>51395.66</v>
      </c>
      <c r="W64" s="53" t="s">
        <v>133</v>
      </c>
      <c r="X64" s="53" t="s">
        <v>131</v>
      </c>
      <c r="Y64" s="53" t="s">
        <v>131</v>
      </c>
      <c r="Z64" s="7"/>
      <c r="AA64" s="7"/>
      <c r="AB64" s="7"/>
    </row>
    <row r="65" ht="17.25" customHeight="1">
      <c r="A65" s="9" t="s">
        <v>40</v>
      </c>
      <c r="B65" s="9" t="s">
        <v>1</v>
      </c>
      <c r="C65" s="9" t="s">
        <v>41</v>
      </c>
      <c r="D65" s="9" t="s">
        <v>2</v>
      </c>
      <c r="E65" s="9" t="s">
        <v>3</v>
      </c>
      <c r="F65" s="20"/>
      <c r="G65" s="9" t="s">
        <v>5</v>
      </c>
      <c r="H65" s="9" t="s">
        <v>6</v>
      </c>
      <c r="I65" s="9" t="s">
        <v>7</v>
      </c>
      <c r="J65" s="10" t="s">
        <v>8</v>
      </c>
      <c r="K65" s="7"/>
      <c r="L65" s="7"/>
      <c r="M65" s="7"/>
      <c r="N65" s="7"/>
      <c r="O65" s="7"/>
      <c r="P65" s="54">
        <v>4.0</v>
      </c>
      <c r="Q65" s="53" t="s">
        <v>134</v>
      </c>
      <c r="R65" s="54">
        <v>17682.0</v>
      </c>
      <c r="S65" s="54">
        <v>16854.81</v>
      </c>
      <c r="T65" s="54">
        <v>827.19</v>
      </c>
      <c r="U65" s="54">
        <v>51395.66</v>
      </c>
      <c r="V65" s="54">
        <v>34540.85</v>
      </c>
      <c r="W65" s="53" t="s">
        <v>133</v>
      </c>
      <c r="X65" s="53" t="s">
        <v>131</v>
      </c>
      <c r="Y65" s="53" t="s">
        <v>131</v>
      </c>
      <c r="Z65" s="7"/>
      <c r="AA65" s="7"/>
      <c r="AB65" s="7"/>
    </row>
    <row r="66" ht="17.25" customHeight="1">
      <c r="A66" s="12">
        <v>8.0</v>
      </c>
      <c r="B66" s="14" t="s">
        <v>52</v>
      </c>
      <c r="C66" s="7" t="s">
        <v>132</v>
      </c>
      <c r="D66" s="14" t="s">
        <v>10</v>
      </c>
      <c r="E66" s="14" t="str">
        <f t="shared" ref="E66:F66" si="2">E54</f>
        <v>Working Capital Loan</v>
      </c>
      <c r="F66" s="14" t="str">
        <f t="shared" si="2"/>
        <v>Current Liability</v>
      </c>
      <c r="G66" s="14" t="s">
        <v>13</v>
      </c>
      <c r="H66" s="14" t="s">
        <v>90</v>
      </c>
      <c r="I66" s="16">
        <f>I67+I68</f>
        <v>17682</v>
      </c>
      <c r="J66" s="121">
        <v>210003.0</v>
      </c>
      <c r="K66" s="35">
        <v>100001.0</v>
      </c>
      <c r="L66" s="7"/>
      <c r="M66" s="7"/>
      <c r="N66" s="7"/>
      <c r="O66" s="7"/>
      <c r="P66" s="54">
        <v>5.0</v>
      </c>
      <c r="Q66" s="53" t="s">
        <v>136</v>
      </c>
      <c r="R66" s="54">
        <v>17682.0</v>
      </c>
      <c r="S66" s="54">
        <v>17144.01</v>
      </c>
      <c r="T66" s="54">
        <v>537.99</v>
      </c>
      <c r="U66" s="54">
        <v>34540.85</v>
      </c>
      <c r="V66" s="54">
        <v>17396.84</v>
      </c>
      <c r="W66" s="53" t="s">
        <v>133</v>
      </c>
      <c r="X66" s="53" t="s">
        <v>131</v>
      </c>
      <c r="Y66" s="53" t="s">
        <v>131</v>
      </c>
      <c r="Z66" s="7"/>
      <c r="AA66" s="7"/>
      <c r="AB66" s="7"/>
    </row>
    <row r="67" ht="17.25" customHeight="1">
      <c r="A67" s="12">
        <v>8.0</v>
      </c>
      <c r="B67" s="14" t="s">
        <v>52</v>
      </c>
      <c r="C67" s="18"/>
      <c r="D67" s="14" t="s">
        <v>10</v>
      </c>
      <c r="E67" s="15" t="s">
        <v>44</v>
      </c>
      <c r="F67" s="14" t="s">
        <v>12</v>
      </c>
      <c r="G67" s="14" t="s">
        <v>19</v>
      </c>
      <c r="H67" s="27"/>
      <c r="I67" s="16">
        <f>16622.59</f>
        <v>16622.59</v>
      </c>
      <c r="J67" s="121">
        <v>100031.0</v>
      </c>
      <c r="K67" s="35">
        <v>100001.0</v>
      </c>
      <c r="L67" s="7"/>
      <c r="M67" s="7"/>
      <c r="N67" s="7"/>
      <c r="O67" s="7"/>
      <c r="P67" s="54">
        <v>6.0</v>
      </c>
      <c r="Q67" s="53" t="s">
        <v>137</v>
      </c>
      <c r="R67" s="54">
        <v>17682.0</v>
      </c>
      <c r="S67" s="54">
        <v>17396.84</v>
      </c>
      <c r="T67" s="54">
        <v>285.16</v>
      </c>
      <c r="U67" s="54">
        <v>17396.84</v>
      </c>
      <c r="V67" s="54">
        <v>0.0</v>
      </c>
      <c r="W67" s="53" t="s">
        <v>133</v>
      </c>
      <c r="X67" s="54">
        <v>0.0</v>
      </c>
      <c r="Y67" s="53" t="s">
        <v>131</v>
      </c>
      <c r="Z67" s="7"/>
      <c r="AA67" s="7"/>
      <c r="AB67" s="7"/>
    </row>
    <row r="68" ht="17.25" customHeight="1">
      <c r="A68" s="12">
        <v>8.0</v>
      </c>
      <c r="B68" s="14" t="s">
        <v>52</v>
      </c>
      <c r="C68" s="18"/>
      <c r="D68" s="14" t="s">
        <v>10</v>
      </c>
      <c r="E68" s="14" t="s">
        <v>70</v>
      </c>
      <c r="F68" s="14" t="s">
        <v>12</v>
      </c>
      <c r="G68" s="14" t="s">
        <v>19</v>
      </c>
      <c r="H68" s="27"/>
      <c r="I68" s="16">
        <v>1059.41</v>
      </c>
      <c r="J68" s="121">
        <v>100034.0</v>
      </c>
      <c r="K68" s="35">
        <v>100001.0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7.25" customHeight="1">
      <c r="A69" s="7"/>
      <c r="B69" s="7"/>
      <c r="C69" s="7"/>
      <c r="D69" s="7"/>
      <c r="E69" s="7"/>
      <c r="F69" s="7"/>
      <c r="G69" s="7"/>
      <c r="H69" s="7"/>
      <c r="I69" s="19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7.25" customHeight="1">
      <c r="A70" s="7"/>
      <c r="B70" s="7"/>
      <c r="C70" s="7"/>
      <c r="D70" s="7"/>
      <c r="E70" s="7"/>
      <c r="F70" s="7"/>
      <c r="G70" s="7"/>
      <c r="H70" s="7"/>
      <c r="I70" s="19"/>
      <c r="J70" s="7"/>
      <c r="K70" s="7"/>
      <c r="L70" s="7"/>
      <c r="M70" s="7"/>
      <c r="N70" s="7"/>
      <c r="O70" s="7"/>
      <c r="P70" s="7"/>
      <c r="Q70" s="63" t="s">
        <v>138</v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7.25" customHeight="1">
      <c r="A71" s="7"/>
      <c r="B71" s="7"/>
      <c r="C71" s="30"/>
      <c r="D71" s="31" t="s">
        <v>57</v>
      </c>
      <c r="E71" s="32" t="s">
        <v>65</v>
      </c>
      <c r="F71" s="33"/>
      <c r="G71" s="7"/>
      <c r="H71" s="7"/>
      <c r="I71" s="7"/>
      <c r="J71" s="7"/>
      <c r="K71" s="7"/>
      <c r="L71" s="7"/>
      <c r="M71" s="7"/>
      <c r="N71" s="7"/>
      <c r="O71" s="7"/>
      <c r="P71" s="7"/>
      <c r="Q71" s="64"/>
      <c r="R71" s="65">
        <f>R67/2</f>
        <v>8841</v>
      </c>
      <c r="S71" s="65">
        <f>R71-T71</f>
        <v>8555.84</v>
      </c>
      <c r="T71" s="65">
        <v>285.16</v>
      </c>
      <c r="U71" s="65">
        <f>V66-S71-T71</f>
        <v>8555.84</v>
      </c>
      <c r="V71" s="7"/>
      <c r="W71" s="11"/>
      <c r="X71" s="7"/>
      <c r="Y71" s="7"/>
      <c r="Z71" s="7"/>
      <c r="AA71" s="7"/>
      <c r="AB71" s="7"/>
    </row>
    <row r="72" ht="17.25" customHeight="1">
      <c r="A72" s="9" t="s">
        <v>40</v>
      </c>
      <c r="B72" s="9" t="s">
        <v>1</v>
      </c>
      <c r="C72" s="9" t="s">
        <v>41</v>
      </c>
      <c r="D72" s="9" t="s">
        <v>2</v>
      </c>
      <c r="E72" s="9" t="s">
        <v>3</v>
      </c>
      <c r="F72" s="20"/>
      <c r="G72" s="9" t="s">
        <v>5</v>
      </c>
      <c r="H72" s="9" t="s">
        <v>6</v>
      </c>
      <c r="I72" s="9" t="s">
        <v>7</v>
      </c>
      <c r="J72" s="10" t="s">
        <v>8</v>
      </c>
      <c r="K72" s="7"/>
      <c r="L72" s="7"/>
      <c r="M72" s="7"/>
      <c r="N72" s="7"/>
      <c r="O72" s="7"/>
      <c r="P72" s="7"/>
      <c r="Q72" s="64"/>
      <c r="R72" s="65">
        <f>S72-T71-U72</f>
        <v>8337.841885</v>
      </c>
      <c r="S72" s="65">
        <f>S67-S71</f>
        <v>8841</v>
      </c>
      <c r="T72" s="65"/>
      <c r="U72" s="65">
        <f>U71*30%/365*31</f>
        <v>217.9981151</v>
      </c>
      <c r="V72" s="7"/>
      <c r="W72" s="7"/>
      <c r="X72" s="7"/>
      <c r="Y72" s="7"/>
      <c r="Z72" s="7"/>
      <c r="AA72" s="7"/>
      <c r="AB72" s="7"/>
    </row>
    <row r="73" ht="17.25" customHeight="1">
      <c r="A73" s="12">
        <v>9.0</v>
      </c>
      <c r="B73" s="14" t="s">
        <v>66</v>
      </c>
      <c r="C73" s="14" t="s">
        <v>139</v>
      </c>
      <c r="D73" s="14" t="s">
        <v>10</v>
      </c>
      <c r="E73" s="15" t="s">
        <v>68</v>
      </c>
      <c r="F73" s="14" t="s">
        <v>18</v>
      </c>
      <c r="G73" s="14" t="s">
        <v>19</v>
      </c>
      <c r="H73" s="14" t="s">
        <v>69</v>
      </c>
      <c r="I73" s="16">
        <f>X56</f>
        <v>1077.460953</v>
      </c>
      <c r="J73" s="121">
        <v>300000.0</v>
      </c>
      <c r="K73" s="36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7.25" customHeight="1">
      <c r="A74" s="12">
        <v>9.0</v>
      </c>
      <c r="B74" s="14" t="s">
        <v>66</v>
      </c>
      <c r="C74" s="13" t="str">
        <f>C73</f>
        <v>31-05-2025</v>
      </c>
      <c r="D74" s="14" t="s">
        <v>10</v>
      </c>
      <c r="E74" s="14" t="s">
        <v>70</v>
      </c>
      <c r="F74" s="14" t="s">
        <v>12</v>
      </c>
      <c r="G74" s="14" t="s">
        <v>13</v>
      </c>
      <c r="H74" s="14" t="s">
        <v>69</v>
      </c>
      <c r="I74" s="16">
        <f>I73</f>
        <v>1077.460953</v>
      </c>
      <c r="J74" s="121">
        <v>100034.0</v>
      </c>
      <c r="K74" s="36"/>
      <c r="L74" s="7"/>
      <c r="M74" s="7"/>
      <c r="N74" s="7"/>
      <c r="O74" s="7"/>
      <c r="P74" s="7"/>
      <c r="Q74" s="8" t="s">
        <v>140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7.25" customHeight="1">
      <c r="A75" s="7"/>
      <c r="B75" s="7"/>
      <c r="C75" s="18"/>
      <c r="D75" s="7"/>
      <c r="E75" s="7"/>
      <c r="F75" s="7"/>
      <c r="G75" s="7"/>
      <c r="H75" s="7"/>
      <c r="I75" s="19"/>
      <c r="J75" s="7"/>
      <c r="K75" s="7"/>
      <c r="L75" s="7"/>
      <c r="M75" s="7"/>
      <c r="N75" s="7"/>
      <c r="O75" s="7"/>
      <c r="P75" s="7"/>
      <c r="Q75" s="64"/>
      <c r="R75" s="66">
        <f>S75+T75</f>
        <v>17396.84</v>
      </c>
      <c r="S75" s="66">
        <v>17396.84</v>
      </c>
      <c r="T75" s="67">
        <v>0.0</v>
      </c>
      <c r="U75" s="64"/>
      <c r="V75" s="7"/>
      <c r="W75" s="7"/>
      <c r="X75" s="7"/>
      <c r="Y75" s="7"/>
      <c r="Z75" s="7"/>
      <c r="AA75" s="7"/>
      <c r="AB75" s="7"/>
    </row>
    <row r="76" ht="17.25" customHeight="1">
      <c r="A76" s="7"/>
      <c r="B76" s="7"/>
      <c r="C76" s="18"/>
      <c r="D76" s="7"/>
      <c r="E76" s="7"/>
      <c r="F76" s="7"/>
      <c r="G76" s="7"/>
      <c r="H76" s="7"/>
      <c r="I76" s="19"/>
      <c r="J76" s="7"/>
      <c r="K76" s="7"/>
      <c r="L76" s="7"/>
      <c r="M76" s="7"/>
      <c r="N76" s="7"/>
      <c r="O76" s="7"/>
      <c r="P76" s="7"/>
      <c r="Q76" s="7"/>
      <c r="R76" s="7">
        <f>R67-R75</f>
        <v>285.16</v>
      </c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7.25" customHeight="1">
      <c r="A77" s="9" t="s">
        <v>40</v>
      </c>
      <c r="B77" s="9" t="s">
        <v>1</v>
      </c>
      <c r="C77" s="9" t="s">
        <v>41</v>
      </c>
      <c r="D77" s="9" t="s">
        <v>2</v>
      </c>
      <c r="E77" s="9" t="s">
        <v>3</v>
      </c>
      <c r="F77" s="20"/>
      <c r="G77" s="9" t="s">
        <v>5</v>
      </c>
      <c r="H77" s="9" t="s">
        <v>6</v>
      </c>
      <c r="I77" s="9" t="s">
        <v>7</v>
      </c>
      <c r="J77" s="10" t="s">
        <v>8</v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7.25" customHeight="1">
      <c r="A78" s="12">
        <v>10.0</v>
      </c>
      <c r="B78" s="14" t="s">
        <v>52</v>
      </c>
      <c r="C78" s="7" t="s">
        <v>134</v>
      </c>
      <c r="D78" s="14" t="s">
        <v>10</v>
      </c>
      <c r="E78" s="14" t="s">
        <v>82</v>
      </c>
      <c r="F78" s="14" t="s">
        <v>22</v>
      </c>
      <c r="G78" s="14" t="s">
        <v>13</v>
      </c>
      <c r="H78" s="14" t="s">
        <v>90</v>
      </c>
      <c r="I78" s="16">
        <f>I79+I80</f>
        <v>17682</v>
      </c>
      <c r="J78" s="121">
        <v>210003.0</v>
      </c>
      <c r="K78" s="35">
        <v>100001.0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7.25" customHeight="1">
      <c r="A79" s="12">
        <v>10.0</v>
      </c>
      <c r="B79" s="14" t="s">
        <v>52</v>
      </c>
      <c r="C79" s="18"/>
      <c r="D79" s="14" t="s">
        <v>10</v>
      </c>
      <c r="E79" s="15" t="s">
        <v>44</v>
      </c>
      <c r="F79" s="14" t="s">
        <v>12</v>
      </c>
      <c r="G79" s="14" t="s">
        <v>19</v>
      </c>
      <c r="H79" s="27"/>
      <c r="I79" s="16">
        <f>17682-I80</f>
        <v>16854.81</v>
      </c>
      <c r="J79" s="121">
        <v>100031.0</v>
      </c>
      <c r="K79" s="35">
        <v>100001.0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7.25" customHeight="1">
      <c r="A80" s="12">
        <v>10.0</v>
      </c>
      <c r="B80" s="14" t="s">
        <v>52</v>
      </c>
      <c r="C80" s="18"/>
      <c r="D80" s="14" t="s">
        <v>10</v>
      </c>
      <c r="E80" s="14" t="s">
        <v>70</v>
      </c>
      <c r="F80" s="14" t="s">
        <v>12</v>
      </c>
      <c r="G80" s="14" t="s">
        <v>19</v>
      </c>
      <c r="H80" s="27"/>
      <c r="I80" s="16">
        <v>827.19</v>
      </c>
      <c r="J80" s="121">
        <v>100034.0</v>
      </c>
      <c r="K80" s="35">
        <v>100001.0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7.25" customHeight="1">
      <c r="A81" s="7"/>
      <c r="B81" s="7"/>
      <c r="C81" s="7"/>
      <c r="D81" s="7"/>
      <c r="E81" s="7"/>
      <c r="F81" s="7"/>
      <c r="G81" s="7"/>
      <c r="H81" s="7"/>
      <c r="I81" s="19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7.25" customHeight="1">
      <c r="A82" s="7"/>
      <c r="B82" s="7"/>
      <c r="C82" s="7"/>
      <c r="D82" s="7"/>
      <c r="E82" s="7"/>
      <c r="F82" s="7"/>
      <c r="G82" s="7"/>
      <c r="H82" s="7"/>
      <c r="I82" s="19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7.25" customHeight="1">
      <c r="A83" s="7"/>
      <c r="B83" s="7"/>
      <c r="C83" s="30"/>
      <c r="D83" s="31" t="s">
        <v>57</v>
      </c>
      <c r="E83" s="32" t="s">
        <v>65</v>
      </c>
      <c r="F83" s="33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7.25" customHeight="1">
      <c r="A84" s="9" t="s">
        <v>40</v>
      </c>
      <c r="B84" s="9" t="s">
        <v>1</v>
      </c>
      <c r="C84" s="9" t="s">
        <v>41</v>
      </c>
      <c r="D84" s="9" t="s">
        <v>2</v>
      </c>
      <c r="E84" s="9" t="s">
        <v>3</v>
      </c>
      <c r="F84" s="20"/>
      <c r="G84" s="9" t="s">
        <v>5</v>
      </c>
      <c r="H84" s="9" t="s">
        <v>6</v>
      </c>
      <c r="I84" s="9" t="s">
        <v>7</v>
      </c>
      <c r="J84" s="10" t="s">
        <v>8</v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7.25" customHeight="1">
      <c r="A85" s="12">
        <v>11.0</v>
      </c>
      <c r="B85" s="14" t="s">
        <v>66</v>
      </c>
      <c r="C85" s="14" t="s">
        <v>134</v>
      </c>
      <c r="D85" s="14" t="s">
        <v>10</v>
      </c>
      <c r="E85" s="15" t="s">
        <v>68</v>
      </c>
      <c r="F85" s="14" t="s">
        <v>18</v>
      </c>
      <c r="G85" s="14" t="s">
        <v>19</v>
      </c>
      <c r="H85" s="14" t="s">
        <v>69</v>
      </c>
      <c r="I85" s="16">
        <f>X57</f>
        <v>791.7543578</v>
      </c>
      <c r="J85" s="121">
        <v>300000.0</v>
      </c>
      <c r="K85" s="36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7.25" customHeight="1">
      <c r="A86" s="12">
        <v>11.0</v>
      </c>
      <c r="B86" s="14" t="s">
        <v>66</v>
      </c>
      <c r="C86" s="13" t="str">
        <f>C85</f>
        <v>30-06-2025</v>
      </c>
      <c r="D86" s="14" t="s">
        <v>10</v>
      </c>
      <c r="E86" s="14" t="s">
        <v>70</v>
      </c>
      <c r="F86" s="14" t="s">
        <v>12</v>
      </c>
      <c r="G86" s="14" t="s">
        <v>13</v>
      </c>
      <c r="H86" s="14" t="s">
        <v>69</v>
      </c>
      <c r="I86" s="16">
        <f>I85</f>
        <v>791.7543578</v>
      </c>
      <c r="J86" s="121">
        <v>100034.0</v>
      </c>
      <c r="K86" s="36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7.25" customHeight="1">
      <c r="A87" s="7"/>
      <c r="B87" s="7"/>
      <c r="C87" s="18"/>
      <c r="D87" s="7"/>
      <c r="E87" s="7"/>
      <c r="F87" s="7"/>
      <c r="G87" s="7"/>
      <c r="H87" s="7"/>
      <c r="I87" s="19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7.25" customHeight="1">
      <c r="A88" s="7"/>
      <c r="B88" s="7"/>
      <c r="C88" s="18"/>
      <c r="D88" s="7"/>
      <c r="E88" s="7"/>
      <c r="F88" s="7"/>
      <c r="G88" s="7"/>
      <c r="H88" s="7"/>
      <c r="I88" s="19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7.25" customHeight="1">
      <c r="A89" s="9" t="s">
        <v>40</v>
      </c>
      <c r="B89" s="9" t="s">
        <v>1</v>
      </c>
      <c r="C89" s="9" t="s">
        <v>41</v>
      </c>
      <c r="D89" s="9" t="s">
        <v>2</v>
      </c>
      <c r="E89" s="9" t="s">
        <v>3</v>
      </c>
      <c r="F89" s="20"/>
      <c r="G89" s="9" t="s">
        <v>5</v>
      </c>
      <c r="H89" s="9" t="s">
        <v>6</v>
      </c>
      <c r="I89" s="9" t="s">
        <v>7</v>
      </c>
      <c r="J89" s="10" t="s">
        <v>8</v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7.25" customHeight="1">
      <c r="A90" s="12">
        <v>12.0</v>
      </c>
      <c r="B90" s="14" t="s">
        <v>52</v>
      </c>
      <c r="C90" s="7" t="s">
        <v>141</v>
      </c>
      <c r="D90" s="14" t="s">
        <v>10</v>
      </c>
      <c r="E90" s="14" t="s">
        <v>82</v>
      </c>
      <c r="F90" s="14" t="s">
        <v>22</v>
      </c>
      <c r="G90" s="14" t="s">
        <v>13</v>
      </c>
      <c r="H90" s="14" t="s">
        <v>90</v>
      </c>
      <c r="I90" s="16">
        <f>I91+I92</f>
        <v>17682</v>
      </c>
      <c r="J90" s="121">
        <v>210003.0</v>
      </c>
      <c r="K90" s="35">
        <v>100001.0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7.25" customHeight="1">
      <c r="A91" s="12">
        <v>12.0</v>
      </c>
      <c r="B91" s="14" t="s">
        <v>52</v>
      </c>
      <c r="C91" s="18"/>
      <c r="D91" s="14" t="s">
        <v>10</v>
      </c>
      <c r="E91" s="15" t="s">
        <v>44</v>
      </c>
      <c r="F91" s="14" t="s">
        <v>12</v>
      </c>
      <c r="G91" s="14" t="s">
        <v>19</v>
      </c>
      <c r="H91" s="27"/>
      <c r="I91" s="16">
        <f>17682-I92</f>
        <v>17144.01</v>
      </c>
      <c r="J91" s="121">
        <v>100031.0</v>
      </c>
      <c r="K91" s="35">
        <v>100001.0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7.25" customHeight="1">
      <c r="A92" s="12">
        <v>12.0</v>
      </c>
      <c r="B92" s="14" t="s">
        <v>52</v>
      </c>
      <c r="C92" s="18"/>
      <c r="D92" s="14" t="s">
        <v>10</v>
      </c>
      <c r="E92" s="14" t="s">
        <v>70</v>
      </c>
      <c r="F92" s="14" t="s">
        <v>12</v>
      </c>
      <c r="G92" s="14" t="s">
        <v>19</v>
      </c>
      <c r="H92" s="27"/>
      <c r="I92" s="16">
        <v>537.99</v>
      </c>
      <c r="J92" s="121">
        <v>100034.0</v>
      </c>
      <c r="K92" s="35">
        <v>100001.0</v>
      </c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7.25" customHeight="1">
      <c r="A93" s="7"/>
      <c r="B93" s="7"/>
      <c r="C93" s="7"/>
      <c r="D93" s="7"/>
      <c r="E93" s="7"/>
      <c r="F93" s="7"/>
      <c r="G93" s="7"/>
      <c r="H93" s="7"/>
      <c r="I93" s="19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7.25" customHeight="1">
      <c r="A94" s="7"/>
      <c r="B94" s="7"/>
      <c r="C94" s="7"/>
      <c r="D94" s="7"/>
      <c r="E94" s="7"/>
      <c r="F94" s="7"/>
      <c r="G94" s="7"/>
      <c r="H94" s="7"/>
      <c r="I94" s="19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7.25" customHeight="1">
      <c r="A95" s="7"/>
      <c r="B95" s="7"/>
      <c r="C95" s="30"/>
      <c r="D95" s="31" t="s">
        <v>57</v>
      </c>
      <c r="E95" s="32" t="s">
        <v>65</v>
      </c>
      <c r="F95" s="33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7.25" customHeight="1">
      <c r="A96" s="9" t="s">
        <v>40</v>
      </c>
      <c r="B96" s="9" t="s">
        <v>1</v>
      </c>
      <c r="C96" s="9" t="s">
        <v>41</v>
      </c>
      <c r="D96" s="9" t="s">
        <v>2</v>
      </c>
      <c r="E96" s="9" t="s">
        <v>3</v>
      </c>
      <c r="F96" s="20"/>
      <c r="G96" s="9" t="s">
        <v>5</v>
      </c>
      <c r="H96" s="9" t="s">
        <v>6</v>
      </c>
      <c r="I96" s="9" t="s">
        <v>7</v>
      </c>
      <c r="J96" s="10" t="s">
        <v>8</v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7.25" customHeight="1">
      <c r="A97" s="12">
        <v>13.0</v>
      </c>
      <c r="B97" s="14" t="s">
        <v>66</v>
      </c>
      <c r="C97" s="14" t="s">
        <v>141</v>
      </c>
      <c r="D97" s="14" t="s">
        <v>10</v>
      </c>
      <c r="E97" s="15" t="s">
        <v>68</v>
      </c>
      <c r="F97" s="14" t="s">
        <v>18</v>
      </c>
      <c r="G97" s="14" t="s">
        <v>19</v>
      </c>
      <c r="H97" s="14" t="s">
        <v>69</v>
      </c>
      <c r="I97" s="16">
        <f>X58</f>
        <v>538.1168316</v>
      </c>
      <c r="J97" s="121">
        <v>300000.0</v>
      </c>
      <c r="K97" s="36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7.25" customHeight="1">
      <c r="A98" s="12">
        <v>13.0</v>
      </c>
      <c r="B98" s="14" t="s">
        <v>66</v>
      </c>
      <c r="C98" s="13" t="str">
        <f>C97</f>
        <v>31-07-2025</v>
      </c>
      <c r="D98" s="14" t="s">
        <v>10</v>
      </c>
      <c r="E98" s="14" t="s">
        <v>70</v>
      </c>
      <c r="F98" s="14" t="s">
        <v>12</v>
      </c>
      <c r="G98" s="14" t="s">
        <v>13</v>
      </c>
      <c r="H98" s="14" t="s">
        <v>69</v>
      </c>
      <c r="I98" s="16">
        <f>I97</f>
        <v>538.1168316</v>
      </c>
      <c r="J98" s="121">
        <v>100034.0</v>
      </c>
      <c r="K98" s="36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7.25" customHeight="1">
      <c r="A99" s="7"/>
      <c r="B99" s="7"/>
      <c r="C99" s="18"/>
      <c r="D99" s="7"/>
      <c r="E99" s="7"/>
      <c r="F99" s="7"/>
      <c r="G99" s="7"/>
      <c r="H99" s="7"/>
      <c r="I99" s="19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7.25" customHeight="1">
      <c r="A100" s="7"/>
      <c r="B100" s="7"/>
      <c r="C100" s="18"/>
      <c r="D100" s="7"/>
      <c r="E100" s="7"/>
      <c r="F100" s="7"/>
      <c r="G100" s="7"/>
      <c r="H100" s="7"/>
      <c r="I100" s="19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7.25" customHeight="1">
      <c r="A101" s="9" t="s">
        <v>40</v>
      </c>
      <c r="B101" s="9" t="s">
        <v>1</v>
      </c>
      <c r="C101" s="9" t="s">
        <v>41</v>
      </c>
      <c r="D101" s="9" t="s">
        <v>2</v>
      </c>
      <c r="E101" s="9" t="s">
        <v>3</v>
      </c>
      <c r="F101" s="20"/>
      <c r="G101" s="9" t="s">
        <v>5</v>
      </c>
      <c r="H101" s="9" t="s">
        <v>6</v>
      </c>
      <c r="I101" s="9" t="s">
        <v>7</v>
      </c>
      <c r="J101" s="10" t="s">
        <v>8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7.25" customHeight="1">
      <c r="A102" s="12">
        <v>14.0</v>
      </c>
      <c r="B102" s="14" t="s">
        <v>52</v>
      </c>
      <c r="C102" s="7" t="s">
        <v>137</v>
      </c>
      <c r="D102" s="14" t="s">
        <v>10</v>
      </c>
      <c r="E102" s="14" t="s">
        <v>82</v>
      </c>
      <c r="F102" s="14" t="s">
        <v>22</v>
      </c>
      <c r="G102" s="14" t="s">
        <v>13</v>
      </c>
      <c r="H102" s="14" t="s">
        <v>90</v>
      </c>
      <c r="I102" s="16">
        <f>I103+I104</f>
        <v>17682</v>
      </c>
      <c r="J102" s="121">
        <v>210003.0</v>
      </c>
      <c r="K102" s="35">
        <v>100001.0</v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7.25" customHeight="1">
      <c r="A103" s="12">
        <v>14.0</v>
      </c>
      <c r="B103" s="14" t="s">
        <v>52</v>
      </c>
      <c r="C103" s="18"/>
      <c r="D103" s="14" t="s">
        <v>10</v>
      </c>
      <c r="E103" s="15" t="s">
        <v>44</v>
      </c>
      <c r="F103" s="14" t="s">
        <v>12</v>
      </c>
      <c r="G103" s="14" t="s">
        <v>19</v>
      </c>
      <c r="H103" s="27"/>
      <c r="I103" s="16">
        <f>17682-I104</f>
        <v>17396.84</v>
      </c>
      <c r="J103" s="121">
        <v>100031.0</v>
      </c>
      <c r="K103" s="35">
        <v>100001.0</v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7.25" customHeight="1">
      <c r="A104" s="12">
        <v>14.0</v>
      </c>
      <c r="B104" s="14" t="s">
        <v>52</v>
      </c>
      <c r="C104" s="18"/>
      <c r="D104" s="14" t="s">
        <v>10</v>
      </c>
      <c r="E104" s="14" t="s">
        <v>70</v>
      </c>
      <c r="F104" s="14" t="s">
        <v>12</v>
      </c>
      <c r="G104" s="14" t="s">
        <v>19</v>
      </c>
      <c r="H104" s="27"/>
      <c r="I104" s="16">
        <v>285.16</v>
      </c>
      <c r="J104" s="121">
        <v>100034.0</v>
      </c>
      <c r="K104" s="35">
        <v>100001.0</v>
      </c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7.25" customHeight="1">
      <c r="A105" s="7"/>
      <c r="B105" s="7"/>
      <c r="C105" s="7"/>
      <c r="D105" s="7"/>
      <c r="E105" s="7"/>
      <c r="F105" s="7"/>
      <c r="G105" s="7"/>
      <c r="H105" s="7"/>
      <c r="I105" s="19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7.25" customHeight="1">
      <c r="A106" s="7"/>
      <c r="B106" s="7"/>
      <c r="C106" s="7"/>
      <c r="D106" s="7"/>
      <c r="E106" s="7"/>
      <c r="F106" s="7"/>
      <c r="G106" s="7"/>
      <c r="H106" s="7"/>
      <c r="I106" s="19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7.25" customHeight="1">
      <c r="A107" s="7"/>
      <c r="B107" s="7"/>
      <c r="C107" s="30"/>
      <c r="D107" s="31" t="s">
        <v>57</v>
      </c>
      <c r="E107" s="32" t="s">
        <v>65</v>
      </c>
      <c r="F107" s="33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7.25" customHeight="1">
      <c r="A108" s="9" t="s">
        <v>40</v>
      </c>
      <c r="B108" s="9" t="s">
        <v>1</v>
      </c>
      <c r="C108" s="9" t="s">
        <v>41</v>
      </c>
      <c r="D108" s="9" t="s">
        <v>2</v>
      </c>
      <c r="E108" s="9" t="s">
        <v>3</v>
      </c>
      <c r="F108" s="20"/>
      <c r="G108" s="9" t="s">
        <v>5</v>
      </c>
      <c r="H108" s="9" t="s">
        <v>6</v>
      </c>
      <c r="I108" s="9" t="s">
        <v>7</v>
      </c>
      <c r="J108" s="10" t="s">
        <v>8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7.25" customHeight="1">
      <c r="A109" s="12">
        <v>15.0</v>
      </c>
      <c r="B109" s="14" t="s">
        <v>66</v>
      </c>
      <c r="C109" s="14" t="s">
        <v>142</v>
      </c>
      <c r="D109" s="14" t="s">
        <v>10</v>
      </c>
      <c r="E109" s="15" t="s">
        <v>68</v>
      </c>
      <c r="F109" s="14" t="s">
        <v>18</v>
      </c>
      <c r="G109" s="14" t="s">
        <v>19</v>
      </c>
      <c r="H109" s="14" t="s">
        <v>69</v>
      </c>
      <c r="I109" s="16">
        <f>X59</f>
        <v>261.9296828</v>
      </c>
      <c r="J109" s="121">
        <v>300000.0</v>
      </c>
      <c r="K109" s="36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7.25" customHeight="1">
      <c r="A110" s="12">
        <v>15.0</v>
      </c>
      <c r="B110" s="14" t="s">
        <v>66</v>
      </c>
      <c r="C110" s="13" t="str">
        <f>C109</f>
        <v>31-08-2025</v>
      </c>
      <c r="D110" s="14" t="s">
        <v>10</v>
      </c>
      <c r="E110" s="14" t="s">
        <v>70</v>
      </c>
      <c r="F110" s="14" t="s">
        <v>12</v>
      </c>
      <c r="G110" s="14" t="s">
        <v>13</v>
      </c>
      <c r="H110" s="14" t="s">
        <v>69</v>
      </c>
      <c r="I110" s="16">
        <f>I109</f>
        <v>261.9296828</v>
      </c>
      <c r="J110" s="121">
        <v>100034.0</v>
      </c>
      <c r="K110" s="36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7.25" customHeight="1">
      <c r="A111" s="7"/>
      <c r="B111" s="7"/>
      <c r="C111" s="18"/>
      <c r="D111" s="7"/>
      <c r="E111" s="7"/>
      <c r="F111" s="7"/>
      <c r="G111" s="7"/>
      <c r="H111" s="7"/>
      <c r="I111" s="19"/>
      <c r="J111" s="7"/>
      <c r="K111" s="68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7.25" customHeight="1">
      <c r="A112" s="7"/>
      <c r="B112" s="7"/>
      <c r="C112" s="18"/>
      <c r="D112" s="7"/>
      <c r="E112" s="7"/>
      <c r="F112" s="7"/>
      <c r="G112" s="7"/>
      <c r="H112" s="7"/>
      <c r="I112" s="19"/>
      <c r="J112" s="7"/>
      <c r="K112" s="68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7.25" customHeight="1">
      <c r="A113" s="7"/>
      <c r="B113" s="8" t="s">
        <v>143</v>
      </c>
      <c r="C113" s="69" t="s">
        <v>394</v>
      </c>
      <c r="D113" s="7"/>
      <c r="E113" s="7"/>
      <c r="F113" s="7"/>
      <c r="G113" s="7"/>
      <c r="H113" s="7"/>
      <c r="I113" s="19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7.25" customHeight="1">
      <c r="A114" s="9" t="s">
        <v>40</v>
      </c>
      <c r="B114" s="9" t="s">
        <v>1</v>
      </c>
      <c r="C114" s="9" t="s">
        <v>41</v>
      </c>
      <c r="D114" s="9" t="s">
        <v>2</v>
      </c>
      <c r="E114" s="9" t="s">
        <v>3</v>
      </c>
      <c r="F114" s="20"/>
      <c r="G114" s="9" t="s">
        <v>5</v>
      </c>
      <c r="H114" s="9" t="s">
        <v>6</v>
      </c>
      <c r="I114" s="9" t="s">
        <v>7</v>
      </c>
      <c r="J114" s="10" t="s">
        <v>8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7.25" customHeight="1">
      <c r="A115" s="70">
        <v>14.1</v>
      </c>
      <c r="B115" s="14" t="s">
        <v>52</v>
      </c>
      <c r="C115" s="7" t="s">
        <v>145</v>
      </c>
      <c r="D115" s="14" t="s">
        <v>10</v>
      </c>
      <c r="E115" s="14" t="s">
        <v>82</v>
      </c>
      <c r="F115" s="14" t="s">
        <v>22</v>
      </c>
      <c r="G115" s="14" t="s">
        <v>13</v>
      </c>
      <c r="H115" s="14"/>
      <c r="I115" s="16">
        <f>I116+I117+I120</f>
        <v>18125.26195</v>
      </c>
      <c r="J115" s="121">
        <v>210003.0</v>
      </c>
      <c r="K115" s="35">
        <v>100001.0</v>
      </c>
      <c r="L115" s="7"/>
      <c r="M115" s="7"/>
      <c r="N115" s="19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7.25" customHeight="1">
      <c r="A116" s="70">
        <v>14.1</v>
      </c>
      <c r="B116" s="14" t="s">
        <v>52</v>
      </c>
      <c r="C116" s="7"/>
      <c r="D116" s="14" t="s">
        <v>10</v>
      </c>
      <c r="E116" s="15" t="s">
        <v>44</v>
      </c>
      <c r="F116" s="14" t="s">
        <v>12</v>
      </c>
      <c r="G116" s="14" t="s">
        <v>19</v>
      </c>
      <c r="H116" s="27"/>
      <c r="I116" s="16">
        <v>17396.84</v>
      </c>
      <c r="J116" s="121">
        <v>100031.0</v>
      </c>
      <c r="K116" s="35">
        <v>100001.0</v>
      </c>
      <c r="L116" s="7"/>
      <c r="M116" s="7"/>
      <c r="N116" s="19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7.25" customHeight="1">
      <c r="A117" s="70">
        <v>14.1</v>
      </c>
      <c r="B117" s="14" t="s">
        <v>52</v>
      </c>
      <c r="C117" s="7"/>
      <c r="D117" s="14" t="s">
        <v>10</v>
      </c>
      <c r="E117" s="15" t="s">
        <v>146</v>
      </c>
      <c r="F117" s="14" t="s">
        <v>12</v>
      </c>
      <c r="G117" s="14" t="s">
        <v>19</v>
      </c>
      <c r="H117" s="27"/>
      <c r="I117" s="16">
        <v>285.16</v>
      </c>
      <c r="J117" s="121">
        <v>100034.0</v>
      </c>
      <c r="K117" s="35">
        <v>100001.0</v>
      </c>
      <c r="L117" s="7"/>
      <c r="M117" s="7"/>
      <c r="N117" s="19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7.25" customHeight="1">
      <c r="A118" s="70">
        <v>14.1</v>
      </c>
      <c r="B118" s="14" t="s">
        <v>52</v>
      </c>
      <c r="C118" s="7"/>
      <c r="D118" s="14" t="s">
        <v>10</v>
      </c>
      <c r="E118" s="71" t="s">
        <v>298</v>
      </c>
      <c r="F118" s="14" t="s">
        <v>12</v>
      </c>
      <c r="G118" s="15" t="s">
        <v>13</v>
      </c>
      <c r="H118" s="73"/>
      <c r="I118" s="74">
        <f>I120</f>
        <v>443.2619507</v>
      </c>
      <c r="J118" s="121">
        <v>100030.0</v>
      </c>
      <c r="K118" s="35"/>
      <c r="L118" s="7"/>
      <c r="M118" s="11"/>
      <c r="N118" s="19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7.25" customHeight="1">
      <c r="A119" s="70"/>
      <c r="B119" s="14" t="s">
        <v>52</v>
      </c>
      <c r="C119" s="7"/>
      <c r="D119" s="14" t="s">
        <v>10</v>
      </c>
      <c r="E119" s="71" t="s">
        <v>298</v>
      </c>
      <c r="F119" s="14" t="s">
        <v>12</v>
      </c>
      <c r="G119" s="15" t="s">
        <v>19</v>
      </c>
      <c r="H119" s="73"/>
      <c r="I119" s="74">
        <f>I118</f>
        <v>443.2619507</v>
      </c>
      <c r="J119" s="121">
        <v>100030.0</v>
      </c>
      <c r="K119" s="35"/>
      <c r="L119" s="7"/>
      <c r="M119" s="11"/>
      <c r="N119" s="19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7.25" customHeight="1">
      <c r="A120" s="70">
        <v>14.1</v>
      </c>
      <c r="B120" s="14" t="s">
        <v>52</v>
      </c>
      <c r="C120" s="7"/>
      <c r="D120" s="14" t="s">
        <v>10</v>
      </c>
      <c r="E120" s="71" t="s">
        <v>395</v>
      </c>
      <c r="F120" s="72" t="s">
        <v>18</v>
      </c>
      <c r="G120" s="72" t="s">
        <v>19</v>
      </c>
      <c r="H120" s="73"/>
      <c r="I120" s="74">
        <f>V66*30%/365*31</f>
        <v>443.2619507</v>
      </c>
      <c r="J120" s="121">
        <v>300015.0</v>
      </c>
      <c r="K120" s="35">
        <v>100001.0</v>
      </c>
      <c r="L120" s="7"/>
      <c r="M120" s="11"/>
      <c r="N120" s="19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7.25" customHeight="1">
      <c r="A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11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7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7.25" customHeight="1">
      <c r="A123" s="7"/>
      <c r="B123" s="8" t="s">
        <v>147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7.25" customHeight="1">
      <c r="A124" s="75" t="s">
        <v>40</v>
      </c>
      <c r="B124" s="76" t="s">
        <v>1</v>
      </c>
      <c r="C124" s="76" t="s">
        <v>41</v>
      </c>
      <c r="D124" s="76" t="s">
        <v>2</v>
      </c>
      <c r="E124" s="76" t="s">
        <v>3</v>
      </c>
      <c r="F124" s="77"/>
      <c r="G124" s="76" t="s">
        <v>5</v>
      </c>
      <c r="H124" s="76" t="s">
        <v>6</v>
      </c>
      <c r="I124" s="76" t="s">
        <v>7</v>
      </c>
      <c r="J124" s="10" t="s">
        <v>8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7.25" customHeight="1">
      <c r="A125" s="78">
        <v>14.2</v>
      </c>
      <c r="B125" s="14" t="s">
        <v>52</v>
      </c>
      <c r="C125" s="7" t="s">
        <v>137</v>
      </c>
      <c r="D125" s="14" t="s">
        <v>10</v>
      </c>
      <c r="E125" s="14" t="s">
        <v>82</v>
      </c>
      <c r="F125" s="14" t="s">
        <v>22</v>
      </c>
      <c r="G125" s="14" t="s">
        <v>13</v>
      </c>
      <c r="H125" s="14" t="s">
        <v>90</v>
      </c>
      <c r="I125" s="16">
        <f>R67/2</f>
        <v>8841</v>
      </c>
      <c r="J125" s="121">
        <v>210003.0</v>
      </c>
      <c r="K125" s="35">
        <v>100001.0</v>
      </c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7.25" customHeight="1">
      <c r="A126" s="78">
        <v>14.2</v>
      </c>
      <c r="B126" s="14" t="s">
        <v>52</v>
      </c>
      <c r="C126" s="7"/>
      <c r="D126" s="14" t="s">
        <v>10</v>
      </c>
      <c r="E126" s="15" t="s">
        <v>44</v>
      </c>
      <c r="F126" s="14" t="s">
        <v>12</v>
      </c>
      <c r="G126" s="14" t="s">
        <v>19</v>
      </c>
      <c r="H126" s="27"/>
      <c r="I126" s="16">
        <f>I125-I127</f>
        <v>8555.84</v>
      </c>
      <c r="J126" s="121">
        <v>100031.0</v>
      </c>
      <c r="K126" s="35">
        <v>100001.0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7.25" customHeight="1">
      <c r="A127" s="78">
        <v>14.2</v>
      </c>
      <c r="B127" s="14" t="s">
        <v>52</v>
      </c>
      <c r="C127" s="7"/>
      <c r="D127" s="14" t="s">
        <v>10</v>
      </c>
      <c r="E127" s="14" t="s">
        <v>70</v>
      </c>
      <c r="F127" s="14" t="s">
        <v>12</v>
      </c>
      <c r="G127" s="14" t="s">
        <v>19</v>
      </c>
      <c r="H127" s="27"/>
      <c r="I127" s="16">
        <v>285.16</v>
      </c>
      <c r="J127" s="121">
        <v>100034.0</v>
      </c>
      <c r="K127" s="35">
        <v>100001.0</v>
      </c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7.25" customHeight="1">
      <c r="A128" s="79"/>
      <c r="B128" s="7"/>
      <c r="C128" s="7"/>
      <c r="D128" s="7"/>
      <c r="E128" s="7"/>
      <c r="F128" s="7"/>
      <c r="G128" s="7"/>
      <c r="H128" s="7"/>
      <c r="I128" s="7"/>
      <c r="J128" s="80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7.25" customHeight="1">
      <c r="A129" s="79"/>
      <c r="B129" s="8" t="s">
        <v>148</v>
      </c>
      <c r="C129" s="7"/>
      <c r="E129" s="69" t="s">
        <v>396</v>
      </c>
      <c r="F129" s="7"/>
      <c r="G129" s="7"/>
      <c r="H129" s="7"/>
      <c r="I129" s="7"/>
      <c r="J129" s="80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7.25" customHeight="1">
      <c r="A130" s="81" t="s">
        <v>40</v>
      </c>
      <c r="B130" s="9" t="s">
        <v>1</v>
      </c>
      <c r="C130" s="9" t="s">
        <v>41</v>
      </c>
      <c r="D130" s="9" t="s">
        <v>2</v>
      </c>
      <c r="E130" s="9" t="s">
        <v>3</v>
      </c>
      <c r="F130" s="20"/>
      <c r="G130" s="9" t="s">
        <v>5</v>
      </c>
      <c r="H130" s="9" t="s">
        <v>6</v>
      </c>
      <c r="I130" s="9" t="s">
        <v>7</v>
      </c>
      <c r="J130" s="10" t="s">
        <v>8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7.25" customHeight="1">
      <c r="A131" s="78">
        <v>14.3</v>
      </c>
      <c r="B131" s="14" t="s">
        <v>52</v>
      </c>
      <c r="C131" s="7" t="s">
        <v>145</v>
      </c>
      <c r="D131" s="14" t="s">
        <v>10</v>
      </c>
      <c r="E131" s="14" t="s">
        <v>82</v>
      </c>
      <c r="F131" s="14" t="s">
        <v>22</v>
      </c>
      <c r="G131" s="14" t="s">
        <v>13</v>
      </c>
      <c r="H131" s="14" t="s">
        <v>90</v>
      </c>
      <c r="I131" s="16">
        <f>I132+I133+I136</f>
        <v>9344.158115</v>
      </c>
      <c r="J131" s="121">
        <v>210003.0</v>
      </c>
      <c r="K131" s="35">
        <v>100001.0</v>
      </c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7.25" customHeight="1">
      <c r="A132" s="78">
        <v>14.3</v>
      </c>
      <c r="B132" s="14" t="s">
        <v>52</v>
      </c>
      <c r="C132" s="7"/>
      <c r="D132" s="14" t="s">
        <v>10</v>
      </c>
      <c r="E132" s="15" t="s">
        <v>44</v>
      </c>
      <c r="F132" s="14" t="s">
        <v>12</v>
      </c>
      <c r="G132" s="14" t="s">
        <v>19</v>
      </c>
      <c r="H132" s="27"/>
      <c r="I132" s="16">
        <f>S72</f>
        <v>8841</v>
      </c>
      <c r="J132" s="121">
        <v>100031.0</v>
      </c>
      <c r="K132" s="35">
        <v>100001.0</v>
      </c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7.25" customHeight="1">
      <c r="A133" s="78">
        <v>14.3</v>
      </c>
      <c r="B133" s="82" t="s">
        <v>52</v>
      </c>
      <c r="C133" s="83"/>
      <c r="D133" s="82" t="s">
        <v>10</v>
      </c>
      <c r="E133" s="84" t="s">
        <v>146</v>
      </c>
      <c r="F133" s="82" t="s">
        <v>12</v>
      </c>
      <c r="G133" s="82" t="s">
        <v>19</v>
      </c>
      <c r="H133" s="27"/>
      <c r="I133" s="85">
        <f>T71</f>
        <v>285.16</v>
      </c>
      <c r="J133" s="121">
        <v>100034.0</v>
      </c>
      <c r="K133" s="35">
        <v>100001.0</v>
      </c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7.25" customHeight="1">
      <c r="A134" s="78">
        <v>14.3</v>
      </c>
      <c r="B134" s="188" t="s">
        <v>52</v>
      </c>
      <c r="C134" s="7"/>
      <c r="D134" s="188" t="s">
        <v>10</v>
      </c>
      <c r="E134" s="71" t="s">
        <v>298</v>
      </c>
      <c r="F134" s="72" t="s">
        <v>12</v>
      </c>
      <c r="G134" s="71" t="s">
        <v>13</v>
      </c>
      <c r="H134" s="14"/>
      <c r="I134" s="74">
        <f>I136</f>
        <v>217.9981151</v>
      </c>
      <c r="J134" s="121">
        <v>100030.0</v>
      </c>
      <c r="K134" s="35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7.25" customHeight="1">
      <c r="A135" s="78">
        <v>14.3</v>
      </c>
      <c r="B135" s="188" t="s">
        <v>52</v>
      </c>
      <c r="C135" s="7"/>
      <c r="D135" s="188" t="s">
        <v>10</v>
      </c>
      <c r="E135" s="71" t="s">
        <v>298</v>
      </c>
      <c r="F135" s="72" t="s">
        <v>12</v>
      </c>
      <c r="G135" s="71" t="s">
        <v>19</v>
      </c>
      <c r="H135" s="14"/>
      <c r="I135" s="74">
        <f>I134</f>
        <v>217.9981151</v>
      </c>
      <c r="J135" s="121">
        <v>100030.0</v>
      </c>
      <c r="K135" s="35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7.25" customHeight="1">
      <c r="A136" s="78">
        <v>14.3</v>
      </c>
      <c r="B136" s="14" t="s">
        <v>52</v>
      </c>
      <c r="C136" s="7"/>
      <c r="D136" s="14" t="s">
        <v>10</v>
      </c>
      <c r="E136" s="71" t="s">
        <v>395</v>
      </c>
      <c r="F136" s="72" t="s">
        <v>18</v>
      </c>
      <c r="G136" s="72" t="s">
        <v>19</v>
      </c>
      <c r="H136" s="14" t="s">
        <v>150</v>
      </c>
      <c r="I136" s="74">
        <f>U72</f>
        <v>217.9981151</v>
      </c>
      <c r="J136" s="121">
        <v>300015.0</v>
      </c>
      <c r="K136" s="35">
        <v>100001.0</v>
      </c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7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7.25" customHeight="1">
      <c r="A138" s="7"/>
      <c r="B138" s="8" t="s">
        <v>140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r="139" ht="17.25" customHeight="1">
      <c r="A139" s="9" t="s">
        <v>40</v>
      </c>
      <c r="B139" s="9" t="s">
        <v>1</v>
      </c>
      <c r="C139" s="9" t="s">
        <v>41</v>
      </c>
      <c r="D139" s="9" t="s">
        <v>2</v>
      </c>
      <c r="E139" s="9" t="s">
        <v>3</v>
      </c>
      <c r="F139" s="20"/>
      <c r="G139" s="9" t="s">
        <v>5</v>
      </c>
      <c r="H139" s="9" t="s">
        <v>6</v>
      </c>
      <c r="I139" s="9" t="s">
        <v>7</v>
      </c>
      <c r="J139" s="10" t="s">
        <v>8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7.25" customHeight="1">
      <c r="A140" s="86">
        <v>14.4</v>
      </c>
      <c r="B140" s="22" t="s">
        <v>52</v>
      </c>
      <c r="C140" s="87">
        <v>45665.0</v>
      </c>
      <c r="D140" s="22" t="s">
        <v>10</v>
      </c>
      <c r="E140" s="26" t="s">
        <v>82</v>
      </c>
      <c r="F140" s="26" t="s">
        <v>82</v>
      </c>
      <c r="G140" s="22" t="s">
        <v>13</v>
      </c>
      <c r="H140" s="22" t="s">
        <v>90</v>
      </c>
      <c r="I140" s="25">
        <f>I141+I142+I143+I146</f>
        <v>17864.66682</v>
      </c>
      <c r="J140" s="121">
        <v>210003.0</v>
      </c>
      <c r="K140" s="35">
        <v>100001.0</v>
      </c>
      <c r="L140" s="23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7.25" customHeight="1">
      <c r="A141" s="70">
        <v>14.4</v>
      </c>
      <c r="B141" s="14" t="s">
        <v>52</v>
      </c>
      <c r="C141" s="7"/>
      <c r="D141" s="14" t="s">
        <v>10</v>
      </c>
      <c r="E141" s="15" t="s">
        <v>44</v>
      </c>
      <c r="F141" s="14" t="s">
        <v>12</v>
      </c>
      <c r="G141" s="14" t="s">
        <v>19</v>
      </c>
      <c r="H141" s="27"/>
      <c r="I141" s="16">
        <f>S75</f>
        <v>17396.84</v>
      </c>
      <c r="J141" s="121">
        <v>100031.0</v>
      </c>
      <c r="K141" s="35">
        <v>100001.0</v>
      </c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7.25" customHeight="1">
      <c r="A142" s="70">
        <v>14.4</v>
      </c>
      <c r="B142" s="14" t="s">
        <v>52</v>
      </c>
      <c r="C142" s="7"/>
      <c r="D142" s="14" t="s">
        <v>10</v>
      </c>
      <c r="E142" s="72" t="s">
        <v>36</v>
      </c>
      <c r="F142" s="14" t="s">
        <v>55</v>
      </c>
      <c r="G142" s="71" t="s">
        <v>19</v>
      </c>
      <c r="H142" s="73"/>
      <c r="I142" s="74">
        <f>I143*5%</f>
        <v>8.69842</v>
      </c>
      <c r="J142" s="121">
        <v>200065.0</v>
      </c>
      <c r="K142" s="35">
        <v>100001.0</v>
      </c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7.25" customHeight="1">
      <c r="A143" s="70">
        <v>14.4</v>
      </c>
      <c r="B143" s="14" t="s">
        <v>52</v>
      </c>
      <c r="C143" s="7"/>
      <c r="D143" s="14" t="s">
        <v>10</v>
      </c>
      <c r="E143" s="72" t="s">
        <v>151</v>
      </c>
      <c r="F143" s="72" t="s">
        <v>18</v>
      </c>
      <c r="G143" s="71" t="s">
        <v>19</v>
      </c>
      <c r="H143" s="73"/>
      <c r="I143" s="74">
        <f>V66*1%</f>
        <v>173.9684</v>
      </c>
      <c r="J143" s="189">
        <v>300002.0</v>
      </c>
      <c r="K143" s="35">
        <v>100001.0</v>
      </c>
      <c r="L143" s="11" t="s">
        <v>397</v>
      </c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7.25" customHeight="1">
      <c r="A144" s="70"/>
      <c r="B144" s="14" t="s">
        <v>52</v>
      </c>
      <c r="C144" s="7"/>
      <c r="D144" s="14" t="s">
        <v>10</v>
      </c>
      <c r="E144" s="71" t="s">
        <v>398</v>
      </c>
      <c r="F144" s="14" t="s">
        <v>12</v>
      </c>
      <c r="G144" s="71" t="s">
        <v>13</v>
      </c>
      <c r="H144" s="73"/>
      <c r="I144" s="74">
        <f t="shared" ref="I144:I145" si="3">I143</f>
        <v>173.9684</v>
      </c>
      <c r="J144" s="119">
        <v>100065.0</v>
      </c>
      <c r="K144" s="35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7.25" customHeight="1">
      <c r="A145" s="70"/>
      <c r="B145" s="14" t="s">
        <v>52</v>
      </c>
      <c r="C145" s="7"/>
      <c r="D145" s="14" t="s">
        <v>10</v>
      </c>
      <c r="E145" s="71" t="s">
        <v>398</v>
      </c>
      <c r="F145" s="14" t="s">
        <v>12</v>
      </c>
      <c r="G145" s="71" t="s">
        <v>19</v>
      </c>
      <c r="H145" s="73"/>
      <c r="I145" s="74">
        <f t="shared" si="3"/>
        <v>173.9684</v>
      </c>
      <c r="J145" s="119">
        <v>100065.0</v>
      </c>
      <c r="K145" s="35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7.25" customHeight="1">
      <c r="A146" s="70">
        <v>14.4</v>
      </c>
      <c r="B146" s="14" t="s">
        <v>52</v>
      </c>
      <c r="C146" s="7"/>
      <c r="D146" s="14" t="s">
        <v>10</v>
      </c>
      <c r="E146" s="14" t="s">
        <v>70</v>
      </c>
      <c r="F146" s="14" t="s">
        <v>12</v>
      </c>
      <c r="G146" s="71" t="s">
        <v>19</v>
      </c>
      <c r="H146" s="73"/>
      <c r="I146" s="74">
        <f>R76</f>
        <v>285.16</v>
      </c>
      <c r="J146" s="121">
        <v>100034.0</v>
      </c>
      <c r="K146" s="35">
        <v>100001.0</v>
      </c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7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7.25" customHeight="1">
      <c r="A148" s="7"/>
      <c r="B148" s="8" t="s">
        <v>153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7.25" customHeight="1">
      <c r="A149" s="9" t="s">
        <v>40</v>
      </c>
      <c r="B149" s="9" t="s">
        <v>1</v>
      </c>
      <c r="C149" s="9" t="s">
        <v>41</v>
      </c>
      <c r="D149" s="9" t="s">
        <v>2</v>
      </c>
      <c r="E149" s="9" t="s">
        <v>3</v>
      </c>
      <c r="F149" s="20"/>
      <c r="G149" s="9" t="s">
        <v>5</v>
      </c>
      <c r="H149" s="9" t="s">
        <v>6</v>
      </c>
      <c r="I149" s="9" t="s">
        <v>7</v>
      </c>
      <c r="J149" s="10" t="s">
        <v>8</v>
      </c>
      <c r="K149" s="11" t="s">
        <v>154</v>
      </c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7.25" customHeight="1">
      <c r="A150" s="70">
        <v>14.5</v>
      </c>
      <c r="B150" s="14" t="s">
        <v>52</v>
      </c>
      <c r="C150" s="7" t="s">
        <v>137</v>
      </c>
      <c r="D150" s="14" t="s">
        <v>10</v>
      </c>
      <c r="E150" s="15" t="s">
        <v>155</v>
      </c>
      <c r="F150" s="14" t="s">
        <v>156</v>
      </c>
      <c r="G150" s="14" t="s">
        <v>13</v>
      </c>
      <c r="H150" s="27"/>
      <c r="I150" s="16">
        <f>I151+I152</f>
        <v>17682</v>
      </c>
      <c r="J150" s="121">
        <v>400041.0</v>
      </c>
      <c r="K150" s="35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7.25" customHeight="1">
      <c r="A151" s="70">
        <v>14.5</v>
      </c>
      <c r="B151" s="14" t="s">
        <v>52</v>
      </c>
      <c r="C151" s="7"/>
      <c r="D151" s="14" t="s">
        <v>10</v>
      </c>
      <c r="E151" s="15" t="s">
        <v>44</v>
      </c>
      <c r="F151" s="14" t="s">
        <v>12</v>
      </c>
      <c r="G151" s="14" t="s">
        <v>19</v>
      </c>
      <c r="H151" s="27"/>
      <c r="I151" s="16">
        <f>S67</f>
        <v>17396.84</v>
      </c>
      <c r="J151" s="121">
        <v>100031.0</v>
      </c>
      <c r="K151" s="35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7.25" customHeight="1">
      <c r="A152" s="70">
        <v>14.5</v>
      </c>
      <c r="B152" s="14" t="s">
        <v>52</v>
      </c>
      <c r="C152" s="7"/>
      <c r="D152" s="14" t="s">
        <v>10</v>
      </c>
      <c r="E152" s="14" t="s">
        <v>70</v>
      </c>
      <c r="F152" s="14" t="s">
        <v>12</v>
      </c>
      <c r="G152" s="14" t="s">
        <v>19</v>
      </c>
      <c r="H152" s="27"/>
      <c r="I152" s="16">
        <f>T67</f>
        <v>285.16</v>
      </c>
      <c r="J152" s="121">
        <v>100034.0</v>
      </c>
      <c r="K152" s="35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7.25" customHeight="1">
      <c r="A153" s="73"/>
      <c r="B153" s="89"/>
      <c r="C153" s="89"/>
      <c r="D153" s="89"/>
      <c r="E153" s="89"/>
      <c r="F153" s="89"/>
      <c r="G153" s="89"/>
      <c r="H153" s="89"/>
      <c r="I153" s="90"/>
      <c r="J153" s="8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7.25" customHeight="1">
      <c r="A154" s="7"/>
      <c r="B154" s="8" t="s">
        <v>157</v>
      </c>
      <c r="C154" s="7"/>
      <c r="D154" s="7"/>
      <c r="E154" s="7"/>
      <c r="F154" s="7"/>
      <c r="G154" s="7"/>
      <c r="H154" s="7"/>
      <c r="I154" s="7"/>
      <c r="J154" s="7"/>
      <c r="K154" s="11" t="s">
        <v>154</v>
      </c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7.25" customHeight="1">
      <c r="A155" s="9" t="s">
        <v>40</v>
      </c>
      <c r="B155" s="9" t="s">
        <v>1</v>
      </c>
      <c r="C155" s="9" t="s">
        <v>41</v>
      </c>
      <c r="D155" s="9" t="s">
        <v>2</v>
      </c>
      <c r="E155" s="9" t="s">
        <v>3</v>
      </c>
      <c r="F155" s="20"/>
      <c r="G155" s="9" t="s">
        <v>5</v>
      </c>
      <c r="H155" s="9" t="s">
        <v>6</v>
      </c>
      <c r="I155" s="9" t="s">
        <v>7</v>
      </c>
      <c r="J155" s="10" t="s">
        <v>8</v>
      </c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7.25" customHeight="1">
      <c r="A156" s="70">
        <v>14.6</v>
      </c>
      <c r="B156" s="14" t="s">
        <v>52</v>
      </c>
      <c r="C156" s="7" t="s">
        <v>137</v>
      </c>
      <c r="D156" s="14" t="s">
        <v>10</v>
      </c>
      <c r="E156" s="15" t="s">
        <v>155</v>
      </c>
      <c r="F156" s="14" t="s">
        <v>156</v>
      </c>
      <c r="G156" s="14" t="s">
        <v>13</v>
      </c>
      <c r="H156" s="27"/>
      <c r="I156" s="16">
        <f>R67/2</f>
        <v>8841</v>
      </c>
      <c r="J156" s="121">
        <v>400041.0</v>
      </c>
      <c r="K156" s="35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7.25" customHeight="1">
      <c r="A157" s="70">
        <v>14.6</v>
      </c>
      <c r="B157" s="14" t="s">
        <v>52</v>
      </c>
      <c r="C157" s="7"/>
      <c r="D157" s="14" t="s">
        <v>10</v>
      </c>
      <c r="E157" s="15" t="s">
        <v>44</v>
      </c>
      <c r="F157" s="14" t="s">
        <v>12</v>
      </c>
      <c r="G157" s="14" t="s">
        <v>19</v>
      </c>
      <c r="H157" s="27"/>
      <c r="I157" s="16">
        <f>I156-I158</f>
        <v>8555.84</v>
      </c>
      <c r="J157" s="121">
        <v>100031.0</v>
      </c>
      <c r="K157" s="35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7.25" customHeight="1">
      <c r="A158" s="70">
        <v>14.6</v>
      </c>
      <c r="B158" s="14" t="s">
        <v>52</v>
      </c>
      <c r="C158" s="7"/>
      <c r="D158" s="14" t="s">
        <v>10</v>
      </c>
      <c r="E158" s="14" t="s">
        <v>70</v>
      </c>
      <c r="F158" s="14" t="s">
        <v>12</v>
      </c>
      <c r="G158" s="14" t="s">
        <v>19</v>
      </c>
      <c r="H158" s="27"/>
      <c r="I158" s="16">
        <f>T67</f>
        <v>285.16</v>
      </c>
      <c r="J158" s="121">
        <v>100034.0</v>
      </c>
      <c r="K158" s="35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7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7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7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7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7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7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7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7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7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7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7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7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7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7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7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7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7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7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7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7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7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7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7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7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7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7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7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7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7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7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7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7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7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7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7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7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7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7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7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7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7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7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7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7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7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7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7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7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7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7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7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7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7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7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7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7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7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7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7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7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7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7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7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7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7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7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7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7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7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7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7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7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7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7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7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7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7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7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7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7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7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7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7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7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7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7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7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7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7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7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7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7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7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7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7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7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7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7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7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7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7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7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7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7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7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7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7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7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7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7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7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7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7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7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7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7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7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7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7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7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7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7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7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7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7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7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7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7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7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7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7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7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7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7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7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7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7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7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7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7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7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7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7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7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7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7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7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7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7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7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7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7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7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7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7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7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7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7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7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7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7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7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7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7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7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7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7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7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7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7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7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7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7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7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7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7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7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7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7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7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7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7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7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7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7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7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7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7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7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7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7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7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7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7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7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7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7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7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7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7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7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7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7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7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7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7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7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7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7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7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7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7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7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7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7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7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7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7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7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7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7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7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7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7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7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7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7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7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7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7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7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7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7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7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7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7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7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7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7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7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7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7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7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7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7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7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7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7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7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7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7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7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7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7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7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7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7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7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7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7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7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7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7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7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7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7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7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7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7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7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7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7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7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7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7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7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7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7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7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7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7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7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7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7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7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7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7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7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7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7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7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7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7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7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7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7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7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7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7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7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7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7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7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7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7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7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7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7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7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7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7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7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7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7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7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7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7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7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7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7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7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7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7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7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7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7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7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7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7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7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7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7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7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7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7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7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7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7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7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7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7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7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7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7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7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7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7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7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7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7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7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7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7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7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7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7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7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7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7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7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7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7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7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7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7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7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7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7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7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7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7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7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7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7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7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7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7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7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7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7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7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7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7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7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7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7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7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7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7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7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7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7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7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7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7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7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7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7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7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7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7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7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7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7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7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7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7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7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7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7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7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7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7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7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7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7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7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7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7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7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7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7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7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7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7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7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7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7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7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7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7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7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7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7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7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7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7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7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7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7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7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7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7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7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7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7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7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7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7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7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7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7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7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7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7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7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7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7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7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7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7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7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7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7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7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7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7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7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7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7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7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7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7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7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7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7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7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7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7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7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7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7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7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7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7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7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7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7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7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7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7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7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7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7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7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7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7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7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7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7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7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7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7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7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7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7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7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7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7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7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7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7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7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7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7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7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7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7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7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7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7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7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7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7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7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7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7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7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7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7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7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7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7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7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7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7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7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7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7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7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7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7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7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7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7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7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7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7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7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7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7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7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7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7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7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7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7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7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7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7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7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7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7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7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7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7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7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7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7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7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7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7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7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7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7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7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7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7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7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7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7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7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7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7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7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7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7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7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7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7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7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7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7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7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7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7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7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7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7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7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7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7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7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7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7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7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7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7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7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7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7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7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7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7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7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7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7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7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7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7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7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7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7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7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7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7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7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7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7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7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7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7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7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7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7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7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7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7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7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7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7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7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7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7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7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7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7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7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7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7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7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7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7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7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7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7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7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7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7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7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7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7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7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7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7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7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7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7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7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7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7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7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7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7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7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7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7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7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7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7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7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7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7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7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7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7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7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7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7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7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7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7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7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7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7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7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7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7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7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7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7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7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7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7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7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7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7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7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7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7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7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7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7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7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7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7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7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7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7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7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7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7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7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7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7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7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7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7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7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7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7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7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7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7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7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7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7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7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7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7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7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7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7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7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7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7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7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7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7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7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7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7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7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7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7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7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7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7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7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7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7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7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7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7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7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7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7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7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7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7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7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7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7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7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7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7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7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7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7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7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7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7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7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7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7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7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7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7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7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7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7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7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7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7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7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7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7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7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7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7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7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7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7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7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7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7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7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7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7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7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7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7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7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7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7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7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7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7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7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7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7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7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7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7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7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7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7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7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7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7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7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7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7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7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7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7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7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17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17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17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ht="17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ht="17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ht="17.2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ht="17.2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ht="17.2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ht="17.2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ht="17.2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ht="17.25" customHeigh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ht="17.25" customHeight="1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ht="17.25" customHeigh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ht="17.25" customHeight="1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ht="17.25" customHeight="1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ht="17.25" customHeight="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ht="17.25" customHeight="1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ht="17.25" customHeight="1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ht="17.25" customHeight="1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ht="17.25" customHeight="1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ht="17.25" customHeight="1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ht="17.25" customHeight="1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ht="17.25" customHeight="1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ht="17.25" customHeight="1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ht="17.25" customHeight="1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ht="17.25" customHeight="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ht="17.25" customHeight="1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ht="17.25" customHeight="1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ht="17.25" customHeight="1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ht="17.25" customHeight="1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</sheetData>
  <autoFilter ref="$A$1:$AB$1023"/>
  <hyperlinks>
    <hyperlink r:id="rId1" ref="C113"/>
    <hyperlink r:id="rId2" ref="E129"/>
  </hyperlinks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0.38"/>
  </cols>
  <sheetData>
    <row r="1">
      <c r="A1" s="100" t="s">
        <v>369</v>
      </c>
    </row>
    <row r="2">
      <c r="A2" s="91" t="s">
        <v>370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371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28" t="s">
        <v>39</v>
      </c>
      <c r="D4" s="151" t="s">
        <v>372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101" t="s">
        <v>57</v>
      </c>
      <c r="D5" s="102" t="s">
        <v>167</v>
      </c>
      <c r="E5" s="30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92" t="s">
        <v>0</v>
      </c>
      <c r="B6" s="92" t="s">
        <v>1</v>
      </c>
      <c r="C6" s="92" t="s">
        <v>2</v>
      </c>
      <c r="D6" s="92" t="s">
        <v>3</v>
      </c>
      <c r="E6" s="92" t="s">
        <v>4</v>
      </c>
      <c r="F6" s="92" t="s">
        <v>5</v>
      </c>
      <c r="G6" s="92" t="s">
        <v>6</v>
      </c>
      <c r="H6" s="92" t="s">
        <v>7</v>
      </c>
      <c r="I6" s="9" t="s">
        <v>8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10"/>
      <c r="B7" s="106" t="s">
        <v>9</v>
      </c>
      <c r="C7" s="106" t="s">
        <v>10</v>
      </c>
      <c r="D7" s="106" t="s">
        <v>348</v>
      </c>
      <c r="E7" s="106" t="s">
        <v>45</v>
      </c>
      <c r="F7" s="106" t="s">
        <v>13</v>
      </c>
      <c r="G7" s="106" t="s">
        <v>14</v>
      </c>
      <c r="H7" s="108">
        <v>51238.0</v>
      </c>
      <c r="I7" s="106">
        <v>100033.0</v>
      </c>
      <c r="J7" s="7"/>
      <c r="K7" s="7"/>
      <c r="L7" s="126" t="s">
        <v>41</v>
      </c>
      <c r="M7" s="126" t="s">
        <v>270</v>
      </c>
      <c r="N7" s="126" t="s">
        <v>271</v>
      </c>
      <c r="O7" s="126" t="s">
        <v>373</v>
      </c>
      <c r="P7" s="126" t="s">
        <v>272</v>
      </c>
      <c r="Q7" s="126" t="s">
        <v>273</v>
      </c>
      <c r="R7" s="126" t="s">
        <v>274</v>
      </c>
      <c r="S7" s="126" t="s">
        <v>374</v>
      </c>
      <c r="T7" s="126" t="s">
        <v>375</v>
      </c>
      <c r="U7" s="126" t="s">
        <v>276</v>
      </c>
      <c r="V7" s="126" t="s">
        <v>125</v>
      </c>
      <c r="W7" s="126" t="s">
        <v>376</v>
      </c>
      <c r="X7" s="126" t="s">
        <v>377</v>
      </c>
      <c r="Y7" s="126" t="s">
        <v>277</v>
      </c>
      <c r="Z7" s="126" t="s">
        <v>278</v>
      </c>
    </row>
    <row r="8">
      <c r="A8" s="110"/>
      <c r="B8" s="106" t="s">
        <v>52</v>
      </c>
      <c r="C8" s="106" t="s">
        <v>10</v>
      </c>
      <c r="D8" s="106" t="s">
        <v>348</v>
      </c>
      <c r="E8" s="106" t="s">
        <v>45</v>
      </c>
      <c r="F8" s="106" t="s">
        <v>19</v>
      </c>
      <c r="G8" s="106" t="s">
        <v>14</v>
      </c>
      <c r="H8" s="108">
        <v>8539.67</v>
      </c>
      <c r="I8" s="106">
        <v>100033.0</v>
      </c>
      <c r="J8" s="7"/>
      <c r="K8" s="7"/>
      <c r="L8" s="128">
        <v>45730.0</v>
      </c>
      <c r="M8" s="129">
        <f>L8+30*5</f>
        <v>45880</v>
      </c>
      <c r="N8" s="54">
        <v>1.51426661927E11</v>
      </c>
      <c r="O8" s="64"/>
      <c r="P8" s="181"/>
      <c r="Q8" s="89"/>
      <c r="R8" s="182">
        <v>51238.0</v>
      </c>
      <c r="S8" s="126">
        <v>5.0</v>
      </c>
      <c r="T8" s="183">
        <f>R8/6</f>
        <v>8539.666667</v>
      </c>
      <c r="U8" s="184">
        <f>1.5%*12</f>
        <v>0.18</v>
      </c>
      <c r="V8" s="135">
        <f>(R8-T8)*(U8/12*S8)</f>
        <v>3202.375</v>
      </c>
      <c r="W8" s="137">
        <f>V8/6</f>
        <v>533.7291667</v>
      </c>
      <c r="X8" s="137">
        <f>T8+W8</f>
        <v>9073.395833</v>
      </c>
      <c r="Y8" s="137">
        <f>R8</f>
        <v>51238</v>
      </c>
      <c r="Z8" s="137">
        <f>X8*6</f>
        <v>54440.375</v>
      </c>
    </row>
    <row r="9">
      <c r="A9" s="110"/>
      <c r="B9" s="106" t="s">
        <v>52</v>
      </c>
      <c r="C9" s="106" t="s">
        <v>10</v>
      </c>
      <c r="D9" s="106" t="s">
        <v>79</v>
      </c>
      <c r="E9" s="106" t="s">
        <v>45</v>
      </c>
      <c r="F9" s="106" t="s">
        <v>13</v>
      </c>
      <c r="G9" s="106" t="s">
        <v>90</v>
      </c>
      <c r="H9" s="108">
        <v>8539.67</v>
      </c>
      <c r="I9" s="106">
        <v>100062.0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10"/>
      <c r="B10" s="106" t="s">
        <v>66</v>
      </c>
      <c r="C10" s="106" t="s">
        <v>10</v>
      </c>
      <c r="D10" s="106" t="s">
        <v>345</v>
      </c>
      <c r="E10" s="106" t="s">
        <v>18</v>
      </c>
      <c r="F10" s="106" t="s">
        <v>19</v>
      </c>
      <c r="G10" s="106" t="s">
        <v>69</v>
      </c>
      <c r="H10" s="108">
        <v>533.73</v>
      </c>
      <c r="I10" s="106">
        <v>300009.0</v>
      </c>
      <c r="J10" s="7"/>
      <c r="K10" s="7"/>
      <c r="L10" s="53" t="s">
        <v>112</v>
      </c>
      <c r="M10" s="53" t="s">
        <v>113</v>
      </c>
      <c r="N10" s="53" t="s">
        <v>114</v>
      </c>
      <c r="O10" s="53" t="s">
        <v>115</v>
      </c>
      <c r="P10" s="53" t="s">
        <v>116</v>
      </c>
      <c r="Q10" s="53" t="s">
        <v>117</v>
      </c>
      <c r="R10" s="7"/>
      <c r="S10" s="7"/>
      <c r="T10" s="7"/>
      <c r="U10" s="7"/>
      <c r="V10" s="7"/>
      <c r="W10" s="7"/>
      <c r="X10" s="7"/>
      <c r="Y10" s="7"/>
      <c r="Z10" s="7"/>
    </row>
    <row r="11">
      <c r="A11" s="110"/>
      <c r="B11" s="106" t="s">
        <v>66</v>
      </c>
      <c r="C11" s="106" t="s">
        <v>10</v>
      </c>
      <c r="D11" s="106" t="s">
        <v>79</v>
      </c>
      <c r="E11" s="106" t="s">
        <v>45</v>
      </c>
      <c r="F11" s="106" t="s">
        <v>13</v>
      </c>
      <c r="G11" s="106" t="s">
        <v>90</v>
      </c>
      <c r="H11" s="108">
        <v>533.73</v>
      </c>
      <c r="I11" s="106">
        <v>100062.0</v>
      </c>
      <c r="J11" s="7"/>
      <c r="K11" s="7"/>
      <c r="L11" s="54">
        <v>1.0</v>
      </c>
      <c r="M11" s="128">
        <v>45747.0</v>
      </c>
      <c r="N11" s="54">
        <v>51238.0</v>
      </c>
      <c r="O11" s="54">
        <v>42698.33</v>
      </c>
      <c r="P11" s="54">
        <v>376.75</v>
      </c>
      <c r="Q11" s="54">
        <v>376.75</v>
      </c>
      <c r="R11" s="56">
        <f>N11*U8/365*17</f>
        <v>429.5569315</v>
      </c>
      <c r="S11" s="56"/>
      <c r="T11" s="56"/>
      <c r="U11" s="56"/>
      <c r="V11" s="56"/>
      <c r="W11" s="56"/>
      <c r="X11" s="56"/>
      <c r="Y11" s="7"/>
      <c r="Z11" s="56"/>
    </row>
    <row r="12">
      <c r="A12" s="110"/>
      <c r="B12" s="106" t="s">
        <v>9</v>
      </c>
      <c r="C12" s="106" t="s">
        <v>10</v>
      </c>
      <c r="D12" s="106" t="s">
        <v>338</v>
      </c>
      <c r="E12" s="106" t="s">
        <v>22</v>
      </c>
      <c r="F12" s="106" t="s">
        <v>19</v>
      </c>
      <c r="G12" s="106" t="s">
        <v>23</v>
      </c>
      <c r="H12" s="108">
        <v>51238.0</v>
      </c>
      <c r="I12" s="106">
        <v>200042.0</v>
      </c>
      <c r="J12" s="7"/>
      <c r="K12" s="7"/>
      <c r="L12" s="54">
        <v>2.0</v>
      </c>
      <c r="M12" s="185">
        <f t="shared" ref="M12:M16" si="1">EOMONTH(M11,1)</f>
        <v>45777</v>
      </c>
      <c r="N12" s="54">
        <v>42698.33</v>
      </c>
      <c r="O12" s="54">
        <v>34158.66</v>
      </c>
      <c r="P12" s="54">
        <v>627.92</v>
      </c>
      <c r="Q12" s="54">
        <v>627.92</v>
      </c>
      <c r="R12" s="56">
        <f>(N12*U8/365*29)+(O12*U8/365*1)</f>
        <v>627.4899764</v>
      </c>
      <c r="S12" s="7"/>
      <c r="T12" s="7"/>
      <c r="U12" s="7"/>
      <c r="V12" s="56"/>
      <c r="W12" s="56"/>
      <c r="X12" s="56"/>
      <c r="Y12" s="56"/>
      <c r="Z12" s="56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54">
        <v>3.0</v>
      </c>
      <c r="M13" s="185">
        <f t="shared" si="1"/>
        <v>45808</v>
      </c>
      <c r="N13" s="54">
        <v>34158.66</v>
      </c>
      <c r="O13" s="54">
        <v>25618.99</v>
      </c>
      <c r="P13" s="54">
        <v>648.85</v>
      </c>
      <c r="Q13" s="54">
        <v>648.85</v>
      </c>
      <c r="R13" s="56">
        <f>(N13*U8/365*30)+(O13*U8/365*1)</f>
        <v>517.9950197</v>
      </c>
      <c r="S13" s="7"/>
      <c r="T13" s="7"/>
      <c r="U13" s="7"/>
      <c r="V13" s="56"/>
      <c r="W13" s="56"/>
      <c r="X13" s="56"/>
      <c r="Y13" s="56"/>
      <c r="Z13" s="56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54">
        <v>4.0</v>
      </c>
      <c r="M14" s="185">
        <f t="shared" si="1"/>
        <v>45838</v>
      </c>
      <c r="N14" s="54">
        <v>25618.99</v>
      </c>
      <c r="O14" s="54">
        <v>17079.32</v>
      </c>
      <c r="P14" s="54">
        <v>627.92</v>
      </c>
      <c r="Q14" s="54">
        <v>627.92</v>
      </c>
      <c r="R14" s="56">
        <f>(N14*U8/365*29)+(O14*U8/365*1)</f>
        <v>374.8093299</v>
      </c>
      <c r="S14" s="7"/>
      <c r="T14" s="7"/>
      <c r="U14" s="7"/>
      <c r="V14" s="56"/>
      <c r="W14" s="56"/>
      <c r="X14" s="56"/>
      <c r="Y14" s="56"/>
      <c r="Z14" s="56"/>
    </row>
    <row r="15">
      <c r="A15" s="7"/>
      <c r="B15" s="7"/>
      <c r="C15" s="28" t="s">
        <v>39</v>
      </c>
      <c r="D15" s="151" t="s">
        <v>56</v>
      </c>
      <c r="E15" s="7"/>
      <c r="F15" s="7"/>
      <c r="G15" s="7"/>
      <c r="H15" s="7"/>
      <c r="I15" s="7"/>
      <c r="J15" s="7"/>
      <c r="K15" s="7"/>
      <c r="L15" s="54">
        <v>5.0</v>
      </c>
      <c r="M15" s="185">
        <f t="shared" si="1"/>
        <v>45869</v>
      </c>
      <c r="N15" s="54">
        <v>17079.32</v>
      </c>
      <c r="O15" s="54">
        <v>8539.65</v>
      </c>
      <c r="P15" s="54">
        <v>648.85</v>
      </c>
      <c r="Q15" s="54">
        <v>648.85</v>
      </c>
      <c r="R15" s="7"/>
      <c r="S15" s="7"/>
      <c r="T15" s="7"/>
      <c r="U15" s="7"/>
      <c r="V15" s="56"/>
      <c r="W15" s="56"/>
      <c r="X15" s="56"/>
      <c r="Y15" s="56"/>
      <c r="Z15" s="56"/>
    </row>
    <row r="16">
      <c r="A16" s="7"/>
      <c r="B16" s="7"/>
      <c r="C16" s="101" t="s">
        <v>57</v>
      </c>
      <c r="D16" s="102" t="s">
        <v>58</v>
      </c>
      <c r="E16" s="30"/>
      <c r="F16" s="34" t="s">
        <v>59</v>
      </c>
      <c r="H16" s="7"/>
      <c r="I16" s="7"/>
      <c r="J16" s="7"/>
      <c r="K16" s="7"/>
      <c r="L16" s="54">
        <v>6.0</v>
      </c>
      <c r="M16" s="185">
        <f t="shared" si="1"/>
        <v>45900</v>
      </c>
      <c r="N16" s="54">
        <v>8539.65</v>
      </c>
      <c r="O16" s="54">
        <v>0.0</v>
      </c>
      <c r="P16" s="54">
        <v>272.1</v>
      </c>
      <c r="Q16" s="54">
        <v>272.1</v>
      </c>
      <c r="R16" s="56">
        <f>N15*U8/365*31</f>
        <v>261.103029</v>
      </c>
      <c r="S16" s="7"/>
      <c r="T16" s="7"/>
      <c r="U16" s="7"/>
      <c r="V16" s="56"/>
      <c r="W16" s="56"/>
      <c r="X16" s="56"/>
      <c r="Y16" s="56"/>
      <c r="Z16" s="56"/>
    </row>
    <row r="17">
      <c r="A17" s="92" t="s">
        <v>0</v>
      </c>
      <c r="B17" s="92" t="s">
        <v>1</v>
      </c>
      <c r="C17" s="92" t="s">
        <v>2</v>
      </c>
      <c r="D17" s="92" t="s">
        <v>3</v>
      </c>
      <c r="E17" s="92" t="s">
        <v>4</v>
      </c>
      <c r="F17" s="92" t="s">
        <v>5</v>
      </c>
      <c r="G17" s="92" t="s">
        <v>6</v>
      </c>
      <c r="H17" s="92" t="s">
        <v>7</v>
      </c>
      <c r="I17" s="9" t="s">
        <v>8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10"/>
      <c r="B18" s="106" t="s">
        <v>9</v>
      </c>
      <c r="C18" s="106" t="s">
        <v>10</v>
      </c>
      <c r="D18" s="106" t="s">
        <v>338</v>
      </c>
      <c r="E18" s="106" t="s">
        <v>22</v>
      </c>
      <c r="F18" s="106" t="s">
        <v>13</v>
      </c>
      <c r="G18" s="106" t="s">
        <v>23</v>
      </c>
      <c r="H18" s="108">
        <v>51238.0</v>
      </c>
      <c r="I18" s="106">
        <v>200042.0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10"/>
      <c r="B19" s="106" t="s">
        <v>9</v>
      </c>
      <c r="C19" s="106" t="s">
        <v>10</v>
      </c>
      <c r="D19" s="106" t="s">
        <v>60</v>
      </c>
      <c r="E19" s="106" t="s">
        <v>61</v>
      </c>
      <c r="F19" s="106" t="s">
        <v>19</v>
      </c>
      <c r="G19" s="106" t="s">
        <v>62</v>
      </c>
      <c r="H19" s="108">
        <v>51238.0</v>
      </c>
      <c r="I19" s="106">
        <v>100003.0</v>
      </c>
      <c r="J19" s="7"/>
      <c r="K19" s="7"/>
      <c r="L19" s="7" t="s">
        <v>120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53" t="s">
        <v>121</v>
      </c>
      <c r="M20" s="53" t="s">
        <v>122</v>
      </c>
      <c r="N20" s="53" t="s">
        <v>123</v>
      </c>
      <c r="O20" s="53" t="s">
        <v>124</v>
      </c>
      <c r="P20" s="53" t="s">
        <v>125</v>
      </c>
      <c r="Q20" s="53" t="s">
        <v>114</v>
      </c>
      <c r="R20" s="53" t="s">
        <v>126</v>
      </c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54">
        <v>1.0</v>
      </c>
      <c r="M21" s="128">
        <v>45730.0</v>
      </c>
      <c r="N21" s="54">
        <v>9073.4</v>
      </c>
      <c r="O21" s="54">
        <v>8539.67</v>
      </c>
      <c r="P21" s="54">
        <v>533.73</v>
      </c>
      <c r="Q21" s="54">
        <v>51238.0</v>
      </c>
      <c r="R21" s="54">
        <v>42698.33</v>
      </c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112" t="s">
        <v>52</v>
      </c>
      <c r="D22" s="29" t="s">
        <v>64</v>
      </c>
      <c r="E22" s="7"/>
      <c r="F22" s="7"/>
      <c r="G22" s="7"/>
      <c r="H22" s="19"/>
      <c r="I22" s="7"/>
      <c r="J22" s="7"/>
      <c r="K22" s="7"/>
      <c r="L22" s="54">
        <v>2.0</v>
      </c>
      <c r="M22" s="185">
        <f t="shared" ref="M22:M26" si="2">EDATE(M21,1)</f>
        <v>45761</v>
      </c>
      <c r="N22" s="54">
        <v>9073.4</v>
      </c>
      <c r="O22" s="54">
        <v>8539.67</v>
      </c>
      <c r="P22" s="54">
        <v>533.73</v>
      </c>
      <c r="Q22" s="54">
        <v>42698.33</v>
      </c>
      <c r="R22" s="54">
        <v>34158.66</v>
      </c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31" t="s">
        <v>57</v>
      </c>
      <c r="D23" s="32" t="s">
        <v>65</v>
      </c>
      <c r="E23" s="33"/>
      <c r="F23" s="7"/>
      <c r="G23" s="7"/>
      <c r="H23" s="7"/>
      <c r="I23" s="7"/>
      <c r="J23" s="7"/>
      <c r="K23" s="7"/>
      <c r="L23" s="54">
        <v>3.0</v>
      </c>
      <c r="M23" s="185">
        <f t="shared" si="2"/>
        <v>45791</v>
      </c>
      <c r="N23" s="54">
        <v>9073.4</v>
      </c>
      <c r="O23" s="54">
        <v>8539.67</v>
      </c>
      <c r="P23" s="54">
        <v>533.73</v>
      </c>
      <c r="Q23" s="54">
        <v>34158.66</v>
      </c>
      <c r="R23" s="54">
        <v>25618.99</v>
      </c>
      <c r="S23" s="7"/>
      <c r="T23" s="7"/>
      <c r="U23" s="7"/>
      <c r="V23" s="7"/>
      <c r="W23" s="7"/>
      <c r="X23" s="7"/>
      <c r="Y23" s="7"/>
      <c r="Z23" s="7"/>
    </row>
    <row r="24">
      <c r="A24" s="9" t="s">
        <v>40</v>
      </c>
      <c r="B24" s="9" t="s">
        <v>1</v>
      </c>
      <c r="C24" s="9" t="s">
        <v>2</v>
      </c>
      <c r="D24" s="9" t="s">
        <v>3</v>
      </c>
      <c r="E24" s="20"/>
      <c r="F24" s="9" t="s">
        <v>5</v>
      </c>
      <c r="G24" s="9" t="s">
        <v>6</v>
      </c>
      <c r="H24" s="9" t="s">
        <v>7</v>
      </c>
      <c r="I24" s="10" t="s">
        <v>8</v>
      </c>
      <c r="J24" s="7"/>
      <c r="K24" s="7"/>
      <c r="L24" s="54">
        <v>4.0</v>
      </c>
      <c r="M24" s="185">
        <f t="shared" si="2"/>
        <v>45822</v>
      </c>
      <c r="N24" s="54">
        <v>9073.4</v>
      </c>
      <c r="O24" s="54">
        <v>8539.67</v>
      </c>
      <c r="P24" s="54">
        <v>533.73</v>
      </c>
      <c r="Q24" s="54">
        <v>25618.99</v>
      </c>
      <c r="R24" s="54">
        <v>17079.32</v>
      </c>
      <c r="S24" s="7"/>
      <c r="T24" s="7"/>
      <c r="U24" s="7"/>
      <c r="V24" s="7"/>
      <c r="W24" s="7"/>
      <c r="X24" s="7"/>
      <c r="Y24" s="7"/>
      <c r="Z24" s="7"/>
    </row>
    <row r="25">
      <c r="A25" s="12">
        <v>3.0</v>
      </c>
      <c r="B25" s="14" t="s">
        <v>52</v>
      </c>
      <c r="C25" s="14" t="s">
        <v>10</v>
      </c>
      <c r="D25" s="15" t="s">
        <v>79</v>
      </c>
      <c r="E25" s="14" t="s">
        <v>12</v>
      </c>
      <c r="F25" s="14" t="s">
        <v>13</v>
      </c>
      <c r="G25" s="15" t="s">
        <v>197</v>
      </c>
      <c r="H25" s="113">
        <v>149213.49</v>
      </c>
      <c r="I25" s="17">
        <v>100062.0</v>
      </c>
      <c r="J25" s="7"/>
      <c r="K25" s="7"/>
      <c r="L25" s="54">
        <v>5.0</v>
      </c>
      <c r="M25" s="185">
        <f t="shared" si="2"/>
        <v>45852</v>
      </c>
      <c r="N25" s="54">
        <v>9073.4</v>
      </c>
      <c r="O25" s="54">
        <v>8539.67</v>
      </c>
      <c r="P25" s="54">
        <v>533.73</v>
      </c>
      <c r="Q25" s="54">
        <v>17079.32</v>
      </c>
      <c r="R25" s="54">
        <v>8539.65</v>
      </c>
      <c r="S25" s="7"/>
      <c r="T25" s="7"/>
      <c r="U25" s="7"/>
      <c r="V25" s="7"/>
      <c r="W25" s="7"/>
      <c r="X25" s="7"/>
      <c r="Y25" s="7"/>
      <c r="Z25" s="7"/>
    </row>
    <row r="26">
      <c r="A26" s="12">
        <v>3.0</v>
      </c>
      <c r="B26" s="14" t="s">
        <v>52</v>
      </c>
      <c r="C26" s="14" t="s">
        <v>10</v>
      </c>
      <c r="D26" s="15" t="s">
        <v>365</v>
      </c>
      <c r="E26" s="15" t="s">
        <v>22</v>
      </c>
      <c r="F26" s="15" t="s">
        <v>19</v>
      </c>
      <c r="G26" s="15" t="s">
        <v>197</v>
      </c>
      <c r="H26" s="16">
        <f>H25</f>
        <v>149213.49</v>
      </c>
      <c r="I26" s="150">
        <v>200087.0</v>
      </c>
      <c r="J26" s="7"/>
      <c r="K26" s="7"/>
      <c r="L26" s="54">
        <v>6.0</v>
      </c>
      <c r="M26" s="185">
        <f t="shared" si="2"/>
        <v>45883</v>
      </c>
      <c r="N26" s="54">
        <v>9073.4</v>
      </c>
      <c r="O26" s="54">
        <v>8539.67</v>
      </c>
      <c r="P26" s="54">
        <v>533.73</v>
      </c>
      <c r="Q26" s="54">
        <v>8539.65</v>
      </c>
      <c r="R26" s="54">
        <v>0.0</v>
      </c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112" t="s">
        <v>200</v>
      </c>
      <c r="D29" s="29" t="s">
        <v>64</v>
      </c>
      <c r="E29" s="7"/>
      <c r="F29" s="7"/>
      <c r="G29" s="7"/>
      <c r="H29" s="1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31" t="s">
        <v>57</v>
      </c>
      <c r="D30" s="32" t="s">
        <v>65</v>
      </c>
      <c r="E30" s="33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9" t="s">
        <v>40</v>
      </c>
      <c r="B31" s="9" t="s">
        <v>1</v>
      </c>
      <c r="C31" s="9" t="s">
        <v>2</v>
      </c>
      <c r="D31" s="9" t="s">
        <v>3</v>
      </c>
      <c r="E31" s="20"/>
      <c r="F31" s="9" t="s">
        <v>5</v>
      </c>
      <c r="G31" s="9" t="s">
        <v>6</v>
      </c>
      <c r="H31" s="9" t="s">
        <v>7</v>
      </c>
      <c r="I31" s="10" t="s">
        <v>8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2">
        <v>3.0</v>
      </c>
      <c r="B32" s="15" t="s">
        <v>200</v>
      </c>
      <c r="C32" s="14" t="s">
        <v>10</v>
      </c>
      <c r="D32" s="15" t="str">
        <f>D26</f>
        <v>Payable Financing - Clearing</v>
      </c>
      <c r="E32" s="15" t="s">
        <v>22</v>
      </c>
      <c r="F32" s="15" t="s">
        <v>13</v>
      </c>
      <c r="G32" s="15" t="s">
        <v>83</v>
      </c>
      <c r="H32" s="113">
        <v>149213.49</v>
      </c>
      <c r="I32" s="150">
        <f>I26</f>
        <v>200087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2">
        <v>3.0</v>
      </c>
      <c r="B33" s="15" t="s">
        <v>200</v>
      </c>
      <c r="C33" s="14" t="s">
        <v>10</v>
      </c>
      <c r="D33" s="15" t="s">
        <v>79</v>
      </c>
      <c r="E33" s="14" t="s">
        <v>12</v>
      </c>
      <c r="F33" s="15" t="s">
        <v>19</v>
      </c>
      <c r="G33" s="15" t="s">
        <v>83</v>
      </c>
      <c r="H33" s="16">
        <f>H32</f>
        <v>149213.49</v>
      </c>
      <c r="I33" s="17">
        <v>100062.0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28" t="s">
        <v>63</v>
      </c>
      <c r="D36" s="151" t="s">
        <v>64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101" t="s">
        <v>57</v>
      </c>
      <c r="D37" s="102" t="s">
        <v>167</v>
      </c>
      <c r="E37" s="30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92" t="s">
        <v>0</v>
      </c>
      <c r="B38" s="92" t="s">
        <v>1</v>
      </c>
      <c r="C38" s="92" t="s">
        <v>2</v>
      </c>
      <c r="D38" s="92" t="s">
        <v>3</v>
      </c>
      <c r="E38" s="152"/>
      <c r="F38" s="92" t="s">
        <v>5</v>
      </c>
      <c r="G38" s="92" t="s">
        <v>6</v>
      </c>
      <c r="H38" s="92" t="s">
        <v>7</v>
      </c>
      <c r="I38" s="9" t="s">
        <v>8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10"/>
      <c r="B39" s="106" t="s">
        <v>66</v>
      </c>
      <c r="C39" s="106" t="s">
        <v>10</v>
      </c>
      <c r="D39" s="106" t="s">
        <v>345</v>
      </c>
      <c r="E39" s="106" t="s">
        <v>18</v>
      </c>
      <c r="F39" s="106" t="s">
        <v>19</v>
      </c>
      <c r="G39" s="106" t="s">
        <v>69</v>
      </c>
      <c r="H39" s="108">
        <f>P11</f>
        <v>376.75</v>
      </c>
      <c r="I39" s="106">
        <v>300009.0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10"/>
      <c r="B40" s="106" t="s">
        <v>66</v>
      </c>
      <c r="C40" s="106" t="s">
        <v>10</v>
      </c>
      <c r="D40" s="106" t="s">
        <v>346</v>
      </c>
      <c r="E40" s="106" t="s">
        <v>12</v>
      </c>
      <c r="F40" s="106" t="s">
        <v>13</v>
      </c>
      <c r="G40" s="106" t="s">
        <v>69</v>
      </c>
      <c r="H40" s="108">
        <f>H39</f>
        <v>376.75</v>
      </c>
      <c r="I40" s="106">
        <v>100036.0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3" t="s">
        <v>378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28" t="s">
        <v>63</v>
      </c>
      <c r="D43" s="151" t="s">
        <v>64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101" t="s">
        <v>57</v>
      </c>
      <c r="D44" s="102" t="s">
        <v>167</v>
      </c>
      <c r="E44" s="30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92" t="s">
        <v>0</v>
      </c>
      <c r="B45" s="92" t="s">
        <v>1</v>
      </c>
      <c r="C45" s="92" t="s">
        <v>2</v>
      </c>
      <c r="D45" s="92" t="s">
        <v>3</v>
      </c>
      <c r="E45" s="152"/>
      <c r="F45" s="92" t="s">
        <v>5</v>
      </c>
      <c r="G45" s="92" t="s">
        <v>6</v>
      </c>
      <c r="H45" s="92" t="s">
        <v>7</v>
      </c>
      <c r="I45" s="9" t="s">
        <v>8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10"/>
      <c r="B46" s="106" t="s">
        <v>66</v>
      </c>
      <c r="C46" s="106" t="s">
        <v>10</v>
      </c>
      <c r="D46" s="106" t="s">
        <v>345</v>
      </c>
      <c r="E46" s="106" t="s">
        <v>18</v>
      </c>
      <c r="F46" s="106" t="s">
        <v>19</v>
      </c>
      <c r="G46" s="106" t="s">
        <v>69</v>
      </c>
      <c r="H46" s="108">
        <f>Q12</f>
        <v>627.92</v>
      </c>
      <c r="I46" s="106">
        <v>300009.0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10"/>
      <c r="B47" s="106" t="s">
        <v>66</v>
      </c>
      <c r="C47" s="106" t="s">
        <v>10</v>
      </c>
      <c r="D47" s="106" t="s">
        <v>346</v>
      </c>
      <c r="E47" s="106" t="s">
        <v>12</v>
      </c>
      <c r="F47" s="106" t="s">
        <v>13</v>
      </c>
      <c r="G47" s="106" t="s">
        <v>69</v>
      </c>
      <c r="H47" s="108">
        <f>H46</f>
        <v>627.92</v>
      </c>
      <c r="I47" s="106">
        <v>100036.0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28" t="s">
        <v>63</v>
      </c>
      <c r="D50" s="171" t="s">
        <v>379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101" t="s">
        <v>57</v>
      </c>
      <c r="D51" s="102" t="s">
        <v>167</v>
      </c>
      <c r="E51" s="30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92" t="s">
        <v>0</v>
      </c>
      <c r="B52" s="92" t="s">
        <v>1</v>
      </c>
      <c r="C52" s="92" t="s">
        <v>2</v>
      </c>
      <c r="D52" s="92" t="s">
        <v>3</v>
      </c>
      <c r="E52" s="152"/>
      <c r="F52" s="92" t="s">
        <v>5</v>
      </c>
      <c r="G52" s="92" t="s">
        <v>6</v>
      </c>
      <c r="H52" s="92" t="s">
        <v>7</v>
      </c>
      <c r="I52" s="9" t="s">
        <v>8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10"/>
      <c r="B53" s="106" t="s">
        <v>66</v>
      </c>
      <c r="C53" s="106" t="s">
        <v>10</v>
      </c>
      <c r="D53" s="106" t="s">
        <v>345</v>
      </c>
      <c r="E53" s="106" t="s">
        <v>18</v>
      </c>
      <c r="F53" s="106" t="s">
        <v>19</v>
      </c>
      <c r="G53" s="106" t="s">
        <v>69</v>
      </c>
      <c r="H53" s="108">
        <f>Q13</f>
        <v>648.85</v>
      </c>
      <c r="I53" s="106">
        <v>300009.0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10"/>
      <c r="B54" s="106" t="s">
        <v>66</v>
      </c>
      <c r="C54" s="106" t="s">
        <v>10</v>
      </c>
      <c r="D54" s="106" t="s">
        <v>346</v>
      </c>
      <c r="E54" s="106" t="s">
        <v>12</v>
      </c>
      <c r="F54" s="106" t="s">
        <v>13</v>
      </c>
      <c r="G54" s="106" t="s">
        <v>69</v>
      </c>
      <c r="H54" s="108">
        <f>H53</f>
        <v>648.85</v>
      </c>
      <c r="I54" s="106">
        <v>100036.0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28" t="s">
        <v>63</v>
      </c>
      <c r="D56" s="171" t="s">
        <v>379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101" t="s">
        <v>57</v>
      </c>
      <c r="D57" s="102" t="s">
        <v>167</v>
      </c>
      <c r="E57" s="30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92" t="s">
        <v>0</v>
      </c>
      <c r="B58" s="92" t="s">
        <v>1</v>
      </c>
      <c r="C58" s="92" t="s">
        <v>2</v>
      </c>
      <c r="D58" s="92" t="s">
        <v>3</v>
      </c>
      <c r="E58" s="152"/>
      <c r="F58" s="92" t="s">
        <v>5</v>
      </c>
      <c r="G58" s="92" t="s">
        <v>6</v>
      </c>
      <c r="H58" s="92" t="s">
        <v>7</v>
      </c>
      <c r="I58" s="9" t="s">
        <v>8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10"/>
      <c r="B59" s="106" t="s">
        <v>66</v>
      </c>
      <c r="C59" s="106" t="s">
        <v>10</v>
      </c>
      <c r="D59" s="106" t="s">
        <v>345</v>
      </c>
      <c r="E59" s="106" t="s">
        <v>18</v>
      </c>
      <c r="F59" s="106" t="s">
        <v>19</v>
      </c>
      <c r="G59" s="106" t="s">
        <v>69</v>
      </c>
      <c r="H59" s="108">
        <f>P14</f>
        <v>627.92</v>
      </c>
      <c r="I59" s="106">
        <v>300009.0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10"/>
      <c r="B60" s="106" t="s">
        <v>66</v>
      </c>
      <c r="C60" s="106" t="s">
        <v>10</v>
      </c>
      <c r="D60" s="106" t="s">
        <v>346</v>
      </c>
      <c r="E60" s="106" t="s">
        <v>12</v>
      </c>
      <c r="F60" s="106" t="s">
        <v>13</v>
      </c>
      <c r="G60" s="106" t="s">
        <v>69</v>
      </c>
      <c r="H60" s="108">
        <f>H59</f>
        <v>627.92</v>
      </c>
      <c r="I60" s="106">
        <v>100036.0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28" t="s">
        <v>63</v>
      </c>
      <c r="D63" s="171" t="s">
        <v>379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101" t="s">
        <v>57</v>
      </c>
      <c r="D64" s="102" t="s">
        <v>167</v>
      </c>
      <c r="E64" s="30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92" t="s">
        <v>0</v>
      </c>
      <c r="B65" s="92" t="s">
        <v>1</v>
      </c>
      <c r="C65" s="92" t="s">
        <v>2</v>
      </c>
      <c r="D65" s="92" t="s">
        <v>3</v>
      </c>
      <c r="E65" s="152"/>
      <c r="F65" s="92" t="s">
        <v>5</v>
      </c>
      <c r="G65" s="92" t="s">
        <v>6</v>
      </c>
      <c r="H65" s="92" t="s">
        <v>7</v>
      </c>
      <c r="I65" s="9" t="s">
        <v>8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10"/>
      <c r="B66" s="106" t="s">
        <v>66</v>
      </c>
      <c r="C66" s="106" t="s">
        <v>10</v>
      </c>
      <c r="D66" s="106" t="s">
        <v>345</v>
      </c>
      <c r="E66" s="106" t="s">
        <v>18</v>
      </c>
      <c r="F66" s="106" t="s">
        <v>19</v>
      </c>
      <c r="G66" s="106" t="s">
        <v>69</v>
      </c>
      <c r="H66" s="108">
        <f>Q15</f>
        <v>648.85</v>
      </c>
      <c r="I66" s="106">
        <v>300009.0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10"/>
      <c r="B67" s="106" t="s">
        <v>66</v>
      </c>
      <c r="C67" s="106" t="s">
        <v>10</v>
      </c>
      <c r="D67" s="106" t="s">
        <v>346</v>
      </c>
      <c r="E67" s="106" t="s">
        <v>12</v>
      </c>
      <c r="F67" s="106" t="s">
        <v>13</v>
      </c>
      <c r="G67" s="106" t="s">
        <v>69</v>
      </c>
      <c r="H67" s="108">
        <f>H66</f>
        <v>648.85</v>
      </c>
      <c r="I67" s="106">
        <v>100036.0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28" t="s">
        <v>63</v>
      </c>
      <c r="D69" s="171" t="s">
        <v>379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101" t="s">
        <v>57</v>
      </c>
      <c r="D70" s="102" t="s">
        <v>167</v>
      </c>
      <c r="E70" s="30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92" t="s">
        <v>0</v>
      </c>
      <c r="B71" s="92" t="s">
        <v>1</v>
      </c>
      <c r="C71" s="92" t="s">
        <v>2</v>
      </c>
      <c r="D71" s="92" t="s">
        <v>3</v>
      </c>
      <c r="E71" s="152"/>
      <c r="F71" s="92" t="s">
        <v>5</v>
      </c>
      <c r="G71" s="92" t="s">
        <v>6</v>
      </c>
      <c r="H71" s="92" t="s">
        <v>7</v>
      </c>
      <c r="I71" s="9" t="s">
        <v>8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10"/>
      <c r="B72" s="106" t="s">
        <v>66</v>
      </c>
      <c r="C72" s="106" t="s">
        <v>10</v>
      </c>
      <c r="D72" s="106" t="s">
        <v>345</v>
      </c>
      <c r="E72" s="106" t="s">
        <v>18</v>
      </c>
      <c r="F72" s="106" t="s">
        <v>19</v>
      </c>
      <c r="G72" s="106" t="s">
        <v>69</v>
      </c>
      <c r="H72" s="108">
        <f>P16</f>
        <v>272.1</v>
      </c>
      <c r="I72" s="106">
        <v>300009.0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10"/>
      <c r="B73" s="106" t="s">
        <v>66</v>
      </c>
      <c r="C73" s="106" t="s">
        <v>10</v>
      </c>
      <c r="D73" s="106" t="s">
        <v>346</v>
      </c>
      <c r="E73" s="106" t="s">
        <v>12</v>
      </c>
      <c r="F73" s="106" t="s">
        <v>13</v>
      </c>
      <c r="G73" s="106" t="s">
        <v>69</v>
      </c>
      <c r="H73" s="108">
        <f>H72</f>
        <v>272.1</v>
      </c>
      <c r="I73" s="106">
        <v>100036.0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3" t="s">
        <v>380</v>
      </c>
      <c r="B75" s="7"/>
      <c r="C75" s="101" t="s">
        <v>57</v>
      </c>
      <c r="D75" s="102" t="s">
        <v>86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92" t="s">
        <v>0</v>
      </c>
      <c r="B76" s="92" t="s">
        <v>1</v>
      </c>
      <c r="C76" s="92" t="s">
        <v>2</v>
      </c>
      <c r="D76" s="92" t="s">
        <v>3</v>
      </c>
      <c r="E76" s="152"/>
      <c r="F76" s="92" t="s">
        <v>5</v>
      </c>
      <c r="G76" s="92" t="s">
        <v>6</v>
      </c>
      <c r="H76" s="92" t="s">
        <v>7</v>
      </c>
      <c r="I76" s="9" t="s">
        <v>8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110"/>
      <c r="B77" s="106" t="s">
        <v>52</v>
      </c>
      <c r="C77" s="106" t="s">
        <v>10</v>
      </c>
      <c r="D77" s="106" t="str">
        <f>D61</f>
        <v/>
      </c>
      <c r="E77" s="106" t="s">
        <v>12</v>
      </c>
      <c r="F77" s="106" t="s">
        <v>13</v>
      </c>
      <c r="G77" s="106" t="s">
        <v>90</v>
      </c>
      <c r="H77" s="108">
        <f>H78+H79</f>
        <v>9073.395833</v>
      </c>
      <c r="I77" s="106">
        <v>100062.0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10"/>
      <c r="B78" s="106" t="s">
        <v>52</v>
      </c>
      <c r="C78" s="106" t="s">
        <v>10</v>
      </c>
      <c r="D78" s="106" t="s">
        <v>348</v>
      </c>
      <c r="E78" s="106" t="s">
        <v>12</v>
      </c>
      <c r="F78" s="106" t="s">
        <v>19</v>
      </c>
      <c r="G78" s="110"/>
      <c r="H78" s="108">
        <f>T8</f>
        <v>8539.666667</v>
      </c>
      <c r="I78" s="106">
        <v>100033.0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10"/>
      <c r="B79" s="106" t="s">
        <v>52</v>
      </c>
      <c r="C79" s="106" t="s">
        <v>10</v>
      </c>
      <c r="D79" s="106" t="s">
        <v>346</v>
      </c>
      <c r="E79" s="106" t="s">
        <v>12</v>
      </c>
      <c r="F79" s="106" t="s">
        <v>19</v>
      </c>
      <c r="G79" s="110"/>
      <c r="H79" s="108">
        <f>W8</f>
        <v>533.7291667</v>
      </c>
      <c r="I79" s="106">
        <v>100036.0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8" t="s">
        <v>140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3" t="s">
        <v>381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101" t="s">
        <v>57</v>
      </c>
      <c r="D83" s="102" t="s">
        <v>86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92" t="s">
        <v>0</v>
      </c>
      <c r="B84" s="92" t="s">
        <v>1</v>
      </c>
      <c r="C84" s="92" t="s">
        <v>2</v>
      </c>
      <c r="D84" s="92" t="s">
        <v>3</v>
      </c>
      <c r="E84" s="152"/>
      <c r="F84" s="92" t="s">
        <v>5</v>
      </c>
      <c r="G84" s="92" t="s">
        <v>6</v>
      </c>
      <c r="H84" s="92" t="s">
        <v>7</v>
      </c>
      <c r="I84" s="9" t="s">
        <v>8</v>
      </c>
      <c r="J84" s="7"/>
      <c r="K84" s="116">
        <f>H99</f>
        <v>10140.85833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110"/>
      <c r="B85" s="106" t="s">
        <v>52</v>
      </c>
      <c r="C85" s="106" t="s">
        <v>10</v>
      </c>
      <c r="D85" s="106" t="str">
        <f t="shared" ref="D85:E85" si="3">D32</f>
        <v>Payable Financing - Clearing</v>
      </c>
      <c r="E85" s="106" t="str">
        <f t="shared" si="3"/>
        <v>Current Liability</v>
      </c>
      <c r="F85" s="106" t="s">
        <v>13</v>
      </c>
      <c r="G85" s="106" t="s">
        <v>90</v>
      </c>
      <c r="H85" s="108">
        <f>H86+H87</f>
        <v>8539.67</v>
      </c>
      <c r="I85" s="106">
        <f>I32</f>
        <v>200087</v>
      </c>
      <c r="J85" s="7"/>
      <c r="K85" s="116">
        <f>H102</f>
        <v>1067.458333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110"/>
      <c r="B86" s="106" t="s">
        <v>52</v>
      </c>
      <c r="C86" s="106" t="s">
        <v>10</v>
      </c>
      <c r="D86" s="106" t="s">
        <v>348</v>
      </c>
      <c r="E86" s="106" t="s">
        <v>12</v>
      </c>
      <c r="F86" s="106" t="s">
        <v>19</v>
      </c>
      <c r="G86" s="110"/>
      <c r="H86" s="108">
        <f>O26</f>
        <v>8539.67</v>
      </c>
      <c r="I86" s="106">
        <v>100033.0</v>
      </c>
      <c r="J86" s="7"/>
      <c r="K86" s="7"/>
      <c r="L86" s="186">
        <f>H100</f>
        <v>8539.67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10"/>
      <c r="B87" s="106" t="s">
        <v>52</v>
      </c>
      <c r="C87" s="106" t="s">
        <v>10</v>
      </c>
      <c r="D87" s="106" t="s">
        <v>346</v>
      </c>
      <c r="E87" s="106" t="s">
        <v>12</v>
      </c>
      <c r="F87" s="106" t="s">
        <v>19</v>
      </c>
      <c r="G87" s="110"/>
      <c r="H87" s="108">
        <v>0.0</v>
      </c>
      <c r="I87" s="106">
        <v>100036.0</v>
      </c>
      <c r="J87" s="7"/>
      <c r="K87" s="7"/>
      <c r="L87" s="116">
        <f>H101+K85</f>
        <v>1601.188333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116">
        <f>H102</f>
        <v>1067.458333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28" t="s">
        <v>63</v>
      </c>
      <c r="D90" s="171" t="s">
        <v>379</v>
      </c>
      <c r="E90" s="171" t="s">
        <v>382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101" t="s">
        <v>57</v>
      </c>
      <c r="D91" s="102" t="s">
        <v>167</v>
      </c>
      <c r="E91" s="30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92" t="s">
        <v>0</v>
      </c>
      <c r="B92" s="92" t="s">
        <v>1</v>
      </c>
      <c r="C92" s="92" t="s">
        <v>2</v>
      </c>
      <c r="D92" s="92" t="s">
        <v>3</v>
      </c>
      <c r="E92" s="152"/>
      <c r="F92" s="92" t="s">
        <v>5</v>
      </c>
      <c r="G92" s="92" t="s">
        <v>6</v>
      </c>
      <c r="H92" s="92" t="s">
        <v>7</v>
      </c>
      <c r="I92" s="9" t="s">
        <v>8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110"/>
      <c r="B93" s="106" t="s">
        <v>66</v>
      </c>
      <c r="C93" s="106" t="s">
        <v>10</v>
      </c>
      <c r="D93" s="106" t="s">
        <v>345</v>
      </c>
      <c r="E93" s="106" t="s">
        <v>18</v>
      </c>
      <c r="F93" s="106" t="s">
        <v>13</v>
      </c>
      <c r="G93" s="106" t="s">
        <v>69</v>
      </c>
      <c r="H93" s="108">
        <f>P26-P16</f>
        <v>261.63</v>
      </c>
      <c r="I93" s="106">
        <v>300009.0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110"/>
      <c r="B94" s="106" t="s">
        <v>66</v>
      </c>
      <c r="C94" s="106" t="s">
        <v>10</v>
      </c>
      <c r="D94" s="106" t="s">
        <v>346</v>
      </c>
      <c r="E94" s="106" t="s">
        <v>12</v>
      </c>
      <c r="F94" s="106" t="s">
        <v>19</v>
      </c>
      <c r="G94" s="106" t="s">
        <v>69</v>
      </c>
      <c r="H94" s="108">
        <f>H93</f>
        <v>261.63</v>
      </c>
      <c r="I94" s="106">
        <v>100036.0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8" t="s">
        <v>353</v>
      </c>
      <c r="B96" s="8" t="s">
        <v>383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101" t="s">
        <v>57</v>
      </c>
      <c r="D97" s="102" t="s">
        <v>86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92" t="s">
        <v>0</v>
      </c>
      <c r="B98" s="92" t="s">
        <v>1</v>
      </c>
      <c r="C98" s="92" t="s">
        <v>2</v>
      </c>
      <c r="D98" s="92" t="s">
        <v>3</v>
      </c>
      <c r="E98" s="152"/>
      <c r="F98" s="92" t="s">
        <v>5</v>
      </c>
      <c r="G98" s="92" t="s">
        <v>6</v>
      </c>
      <c r="H98" s="92" t="s">
        <v>7</v>
      </c>
      <c r="I98" s="9" t="s">
        <v>8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10"/>
      <c r="B99" s="106" t="s">
        <v>52</v>
      </c>
      <c r="C99" s="106" t="s">
        <v>10</v>
      </c>
      <c r="D99" s="106" t="str">
        <f t="shared" ref="D99:E99" si="4">D85</f>
        <v>Payable Financing - Clearing</v>
      </c>
      <c r="E99" s="106" t="str">
        <f t="shared" si="4"/>
        <v>Current Liability</v>
      </c>
      <c r="F99" s="106" t="s">
        <v>13</v>
      </c>
      <c r="G99" s="106" t="s">
        <v>90</v>
      </c>
      <c r="H99" s="108">
        <f>H100+H101+H102</f>
        <v>10140.85833</v>
      </c>
      <c r="I99" s="106">
        <f>I85</f>
        <v>200087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10"/>
      <c r="B100" s="106" t="s">
        <v>52</v>
      </c>
      <c r="C100" s="106" t="s">
        <v>10</v>
      </c>
      <c r="D100" s="106" t="s">
        <v>348</v>
      </c>
      <c r="E100" s="106" t="s">
        <v>12</v>
      </c>
      <c r="F100" s="106" t="s">
        <v>19</v>
      </c>
      <c r="G100" s="110"/>
      <c r="H100" s="108">
        <f>O26</f>
        <v>8539.67</v>
      </c>
      <c r="I100" s="106">
        <v>100033.0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10"/>
      <c r="B101" s="106" t="s">
        <v>52</v>
      </c>
      <c r="C101" s="106" t="s">
        <v>10</v>
      </c>
      <c r="D101" s="106" t="s">
        <v>346</v>
      </c>
      <c r="E101" s="106" t="s">
        <v>12</v>
      </c>
      <c r="F101" s="106" t="s">
        <v>19</v>
      </c>
      <c r="G101" s="110"/>
      <c r="H101" s="108">
        <f>P26</f>
        <v>533.73</v>
      </c>
      <c r="I101" s="106">
        <v>100036.0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110"/>
      <c r="B102" s="106" t="s">
        <v>52</v>
      </c>
      <c r="C102" s="106" t="s">
        <v>10</v>
      </c>
      <c r="D102" s="106" t="s">
        <v>345</v>
      </c>
      <c r="E102" s="106" t="s">
        <v>18</v>
      </c>
      <c r="F102" s="106" t="s">
        <v>19</v>
      </c>
      <c r="G102" s="106" t="s">
        <v>69</v>
      </c>
      <c r="H102" s="108">
        <f>(R8-T8)*30%/12*1</f>
        <v>1067.458333</v>
      </c>
      <c r="I102" s="106">
        <v>300009.0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28" t="s">
        <v>63</v>
      </c>
      <c r="D105" s="171" t="s">
        <v>379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101" t="s">
        <v>57</v>
      </c>
      <c r="D106" s="102" t="s">
        <v>167</v>
      </c>
      <c r="E106" s="30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92" t="s">
        <v>0</v>
      </c>
      <c r="B107" s="92" t="s">
        <v>1</v>
      </c>
      <c r="C107" s="92" t="s">
        <v>2</v>
      </c>
      <c r="D107" s="92" t="s">
        <v>3</v>
      </c>
      <c r="E107" s="152"/>
      <c r="F107" s="92" t="s">
        <v>5</v>
      </c>
      <c r="G107" s="92" t="s">
        <v>6</v>
      </c>
      <c r="H107" s="92" t="s">
        <v>7</v>
      </c>
      <c r="I107" s="9" t="s">
        <v>8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110"/>
      <c r="B108" s="106" t="s">
        <v>66</v>
      </c>
      <c r="C108" s="106" t="s">
        <v>10</v>
      </c>
      <c r="D108" s="106" t="s">
        <v>345</v>
      </c>
      <c r="E108" s="106" t="s">
        <v>18</v>
      </c>
      <c r="F108" s="106" t="s">
        <v>19</v>
      </c>
      <c r="G108" s="106" t="s">
        <v>69</v>
      </c>
      <c r="H108" s="108">
        <f>P16</f>
        <v>272.1</v>
      </c>
      <c r="I108" s="106">
        <v>300009.0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110"/>
      <c r="B109" s="106" t="s">
        <v>66</v>
      </c>
      <c r="C109" s="106" t="s">
        <v>10</v>
      </c>
      <c r="D109" s="106" t="s">
        <v>346</v>
      </c>
      <c r="E109" s="106" t="s">
        <v>12</v>
      </c>
      <c r="F109" s="106" t="s">
        <v>13</v>
      </c>
      <c r="G109" s="106" t="s">
        <v>69</v>
      </c>
      <c r="H109" s="108">
        <f>H108</f>
        <v>272.1</v>
      </c>
      <c r="I109" s="106">
        <v>100036.0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8" t="s">
        <v>231</v>
      </c>
      <c r="B111" s="7"/>
      <c r="C111" s="7"/>
      <c r="D111" s="7"/>
      <c r="E111" s="7"/>
      <c r="F111" s="7"/>
      <c r="G111" s="7"/>
      <c r="H111" s="7"/>
      <c r="I111" s="7"/>
      <c r="J111" s="7"/>
    </row>
    <row r="112">
      <c r="A112" s="7"/>
      <c r="B112" s="7"/>
      <c r="C112" s="101" t="s">
        <v>57</v>
      </c>
      <c r="D112" s="102" t="s">
        <v>86</v>
      </c>
      <c r="F112" s="7"/>
      <c r="G112" s="7"/>
      <c r="H112" s="7"/>
      <c r="I112" s="7"/>
      <c r="J112" s="7"/>
    </row>
    <row r="113">
      <c r="A113" s="92" t="s">
        <v>0</v>
      </c>
      <c r="B113" s="92" t="s">
        <v>1</v>
      </c>
      <c r="C113" s="92" t="s">
        <v>2</v>
      </c>
      <c r="D113" s="92" t="s">
        <v>3</v>
      </c>
      <c r="E113" s="152"/>
      <c r="F113" s="92" t="s">
        <v>5</v>
      </c>
      <c r="G113" s="92" t="s">
        <v>6</v>
      </c>
      <c r="H113" s="92" t="s">
        <v>7</v>
      </c>
      <c r="I113" s="9" t="s">
        <v>8</v>
      </c>
      <c r="J113" s="7"/>
    </row>
    <row r="114">
      <c r="A114" s="110"/>
      <c r="B114" s="106" t="s">
        <v>52</v>
      </c>
      <c r="C114" s="106" t="s">
        <v>10</v>
      </c>
      <c r="D114" s="106" t="s">
        <v>155</v>
      </c>
      <c r="E114" s="106" t="s">
        <v>156</v>
      </c>
      <c r="F114" s="106" t="s">
        <v>13</v>
      </c>
      <c r="G114" s="106" t="s">
        <v>156</v>
      </c>
      <c r="H114" s="108">
        <f>H115+H116</f>
        <v>9073.4</v>
      </c>
      <c r="I114" s="106">
        <v>400041.0</v>
      </c>
      <c r="J114" s="7"/>
    </row>
    <row r="115">
      <c r="A115" s="110"/>
      <c r="B115" s="106" t="s">
        <v>52</v>
      </c>
      <c r="C115" s="106" t="s">
        <v>10</v>
      </c>
      <c r="D115" s="106" t="s">
        <v>348</v>
      </c>
      <c r="E115" s="106" t="s">
        <v>12</v>
      </c>
      <c r="F115" s="106" t="s">
        <v>19</v>
      </c>
      <c r="G115" s="110"/>
      <c r="H115" s="108">
        <f>O26</f>
        <v>8539.67</v>
      </c>
      <c r="I115" s="106">
        <v>100033.0</v>
      </c>
      <c r="J115" s="7"/>
    </row>
    <row r="116">
      <c r="A116" s="110"/>
      <c r="B116" s="106" t="s">
        <v>52</v>
      </c>
      <c r="C116" s="106" t="s">
        <v>10</v>
      </c>
      <c r="D116" s="106" t="s">
        <v>346</v>
      </c>
      <c r="E116" s="106" t="s">
        <v>12</v>
      </c>
      <c r="F116" s="106" t="s">
        <v>19</v>
      </c>
      <c r="G116" s="110"/>
      <c r="H116" s="108">
        <f>P26</f>
        <v>533.73</v>
      </c>
      <c r="I116" s="106">
        <v>100036.0</v>
      </c>
      <c r="J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>
      <c r="A119" s="8" t="s">
        <v>157</v>
      </c>
      <c r="B119" s="7"/>
      <c r="C119" s="7"/>
      <c r="D119" s="7"/>
      <c r="E119" s="7"/>
      <c r="F119" s="7"/>
      <c r="G119" s="7"/>
      <c r="H119" s="7"/>
      <c r="I119" s="7"/>
      <c r="J119" s="7"/>
    </row>
    <row r="120">
      <c r="A120" s="7"/>
      <c r="B120" s="7"/>
      <c r="C120" s="101" t="s">
        <v>57</v>
      </c>
      <c r="D120" s="102" t="s">
        <v>86</v>
      </c>
      <c r="F120" s="7"/>
      <c r="G120" s="7"/>
      <c r="H120" s="7"/>
      <c r="I120" s="7"/>
      <c r="J120" s="7"/>
    </row>
    <row r="121">
      <c r="A121" s="92" t="s">
        <v>0</v>
      </c>
      <c r="B121" s="92" t="s">
        <v>1</v>
      </c>
      <c r="C121" s="92" t="s">
        <v>2</v>
      </c>
      <c r="D121" s="92" t="s">
        <v>3</v>
      </c>
      <c r="E121" s="152"/>
      <c r="F121" s="92" t="s">
        <v>5</v>
      </c>
      <c r="G121" s="92" t="s">
        <v>6</v>
      </c>
      <c r="H121" s="92" t="s">
        <v>7</v>
      </c>
      <c r="I121" s="9" t="s">
        <v>8</v>
      </c>
      <c r="J121" s="7"/>
    </row>
    <row r="122">
      <c r="A122" s="110"/>
      <c r="B122" s="106" t="s">
        <v>52</v>
      </c>
      <c r="C122" s="106" t="s">
        <v>10</v>
      </c>
      <c r="D122" s="106" t="s">
        <v>155</v>
      </c>
      <c r="E122" s="106" t="s">
        <v>156</v>
      </c>
      <c r="F122" s="106" t="s">
        <v>13</v>
      </c>
      <c r="G122" s="106" t="s">
        <v>156</v>
      </c>
      <c r="H122" s="108">
        <f>H123/2</f>
        <v>4269.835</v>
      </c>
      <c r="I122" s="106">
        <v>400041.0</v>
      </c>
      <c r="J122" s="7"/>
    </row>
    <row r="123">
      <c r="A123" s="110"/>
      <c r="B123" s="106" t="s">
        <v>52</v>
      </c>
      <c r="C123" s="106" t="s">
        <v>10</v>
      </c>
      <c r="D123" s="106" t="s">
        <v>348</v>
      </c>
      <c r="E123" s="106" t="s">
        <v>12</v>
      </c>
      <c r="F123" s="106" t="s">
        <v>19</v>
      </c>
      <c r="G123" s="110"/>
      <c r="H123" s="108">
        <f>O26</f>
        <v>8539.67</v>
      </c>
      <c r="I123" s="106">
        <v>100033.0</v>
      </c>
      <c r="J123" s="7"/>
    </row>
    <row r="124">
      <c r="A124" s="110"/>
      <c r="B124" s="106" t="s">
        <v>52</v>
      </c>
      <c r="C124" s="106" t="s">
        <v>10</v>
      </c>
      <c r="D124" s="106" t="s">
        <v>346</v>
      </c>
      <c r="E124" s="106" t="s">
        <v>12</v>
      </c>
      <c r="F124" s="106" t="s">
        <v>19</v>
      </c>
      <c r="G124" s="110"/>
      <c r="H124" s="108">
        <f>P26</f>
        <v>533.73</v>
      </c>
      <c r="I124" s="106">
        <v>100036.0</v>
      </c>
      <c r="J124" s="7"/>
    </row>
    <row r="125">
      <c r="A125" s="110"/>
      <c r="B125" s="106" t="s">
        <v>52</v>
      </c>
      <c r="C125" s="106" t="s">
        <v>10</v>
      </c>
      <c r="D125" s="106" t="str">
        <f t="shared" ref="D125:E125" si="5">D99</f>
        <v>Payable Financing - Clearing</v>
      </c>
      <c r="E125" s="106" t="str">
        <f t="shared" si="5"/>
        <v>Current Liability</v>
      </c>
      <c r="F125" s="106" t="s">
        <v>13</v>
      </c>
      <c r="G125" s="106" t="s">
        <v>90</v>
      </c>
      <c r="H125" s="108">
        <f>H123/2+H124</f>
        <v>4803.565</v>
      </c>
      <c r="I125" s="106">
        <f>I99</f>
        <v>200087</v>
      </c>
      <c r="J125" s="7"/>
    </row>
  </sheetData>
  <mergeCells count="7">
    <mergeCell ref="A2:C2"/>
    <mergeCell ref="F16:G16"/>
    <mergeCell ref="D75:E75"/>
    <mergeCell ref="D83:E83"/>
    <mergeCell ref="D97:E97"/>
    <mergeCell ref="D112:E112"/>
    <mergeCell ref="D120:E120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5"/>
  </cols>
  <sheetData>
    <row r="3">
      <c r="B3" s="190" t="s">
        <v>399</v>
      </c>
    </row>
    <row r="4">
      <c r="B4" s="190" t="s">
        <v>400</v>
      </c>
      <c r="C4" s="190" t="s">
        <v>401</v>
      </c>
    </row>
    <row r="5">
      <c r="B5" s="191" t="str">
        <f t="array" ref="B5">XLOOKUP(C5,'Factor rate'!I:I,'Factor rate'!D:D,"NA")</f>
        <v>Factor Rate / POS - Clearing</v>
      </c>
      <c r="C5" s="191">
        <v>200085.0</v>
      </c>
    </row>
    <row r="7">
      <c r="B7" s="190"/>
    </row>
    <row r="8">
      <c r="B8" s="190"/>
      <c r="C8" s="190"/>
    </row>
    <row r="11">
      <c r="B11" s="19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0" t="s">
        <v>402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0" t="s">
        <v>403</v>
      </c>
    </row>
  </sheetData>
  <drawing r:id="rId1"/>
</worksheet>
</file>